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helatka\Downloads\"/>
    </mc:Choice>
  </mc:AlternateContent>
  <xr:revisionPtr revIDLastSave="0" documentId="13_ncr:1_{1425762D-433E-465E-A2C1-1D6DE1CD4478}" xr6:coauthVersionLast="47" xr6:coauthVersionMax="47" xr10:uidLastSave="{00000000-0000-0000-0000-000000000000}"/>
  <bookViews>
    <workbookView xWindow="-28920" yWindow="-1560" windowWidth="29040" windowHeight="15840" xr2:uid="{E34006FB-4D1C-4FDE-A6CC-93E2575C790F}"/>
  </bookViews>
  <sheets>
    <sheet name="Dashboard" sheetId="10" r:id="rId1"/>
    <sheet name="userInputForm" sheetId="1" r:id="rId2"/>
    <sheet name="top performer(coding)" sheetId="4" state="hidden" r:id="rId3"/>
    <sheet name="overall EH" sheetId="6" state="hidden" r:id="rId4"/>
    <sheet name="Individual EH" sheetId="8" state="hidden" r:id="rId5"/>
    <sheet name="Database" sheetId="2" state="hidden" r:id="rId6"/>
  </sheets>
  <definedNames>
    <definedName name="Slicer_Date">#N/A</definedName>
    <definedName name="Slicer_Date1">#N/A</definedName>
    <definedName name="Slicer_Date2">#N/A</definedName>
    <definedName name="Slicer_Name">#N/A</definedName>
  </definedNames>
  <calcPr calcId="191029"/>
  <pivotCaches>
    <pivotCache cacheId="4"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0" i="4" l="1"/>
  <c r="B91" i="4"/>
  <c r="B92" i="4"/>
  <c r="A90" i="4"/>
  <c r="B102" i="4"/>
  <c r="B101" i="4"/>
  <c r="B100" i="4"/>
  <c r="A102" i="4"/>
  <c r="A101" i="4"/>
  <c r="A100" i="4"/>
  <c r="A92" i="4"/>
  <c r="A91" i="4"/>
  <c r="D101" i="4" l="1"/>
  <c r="D100" i="4"/>
  <c r="D102" i="4"/>
  <c r="F100" i="4"/>
  <c r="E101" i="4"/>
  <c r="F101" i="4"/>
  <c r="C100" i="4"/>
  <c r="C102" i="4"/>
  <c r="E100" i="4"/>
  <c r="C101" i="4"/>
  <c r="E102" i="4"/>
  <c r="F102" i="4"/>
  <c r="F92" i="4"/>
  <c r="C92" i="4"/>
  <c r="C91" i="4"/>
  <c r="C90" i="4"/>
  <c r="D90" i="4"/>
  <c r="E90" i="4"/>
  <c r="F90" i="4"/>
  <c r="D92" i="4"/>
  <c r="D91" i="4"/>
  <c r="E92" i="4"/>
  <c r="E91" i="4"/>
  <c r="F91" i="4"/>
  <c r="O4" i="6"/>
  <c r="O5" i="6"/>
  <c r="F5" i="1" l="1"/>
  <c r="H1" i="2" l="1"/>
  <c r="K8" i="1" l="1"/>
  <c r="K10" i="1"/>
  <c r="K7" i="1"/>
  <c r="K6" i="1"/>
</calcChain>
</file>

<file path=xl/sharedStrings.xml><?xml version="1.0" encoding="utf-8"?>
<sst xmlns="http://schemas.openxmlformats.org/spreadsheetml/2006/main" count="76" uniqueCount="36">
  <si>
    <t>Name</t>
  </si>
  <si>
    <t>Date</t>
  </si>
  <si>
    <t>EH</t>
  </si>
  <si>
    <t>AH</t>
  </si>
  <si>
    <t>Km</t>
  </si>
  <si>
    <t>EH(Earthscape hrs)</t>
  </si>
  <si>
    <t>AH(Productive on System)</t>
  </si>
  <si>
    <t>Coding Km</t>
  </si>
  <si>
    <t>QC Km</t>
  </si>
  <si>
    <t>Row Labels</t>
  </si>
  <si>
    <t>Grand Total</t>
  </si>
  <si>
    <t>Column Labels</t>
  </si>
  <si>
    <t>Sum of Coding Km</t>
  </si>
  <si>
    <t>Sum of QC Km</t>
  </si>
  <si>
    <t>Jyoti singh</t>
  </si>
  <si>
    <t>Sum of EH</t>
  </si>
  <si>
    <t>Average of EH</t>
  </si>
  <si>
    <t>coding metric</t>
  </si>
  <si>
    <t>qc metric</t>
  </si>
  <si>
    <t>Average of AH</t>
  </si>
  <si>
    <t>Names</t>
  </si>
  <si>
    <t>km</t>
  </si>
  <si>
    <t>max km</t>
  </si>
  <si>
    <t>km data label</t>
  </si>
  <si>
    <t>max km data label</t>
  </si>
  <si>
    <t>QC km</t>
  </si>
  <si>
    <t>qc km</t>
  </si>
  <si>
    <t>max qc km</t>
  </si>
  <si>
    <t>qc km data label</t>
  </si>
  <si>
    <t>max qc km data label</t>
  </si>
  <si>
    <t>Anmol talreja</t>
  </si>
  <si>
    <t>Tejas kamble</t>
  </si>
  <si>
    <t>Shruti Narkar</t>
  </si>
  <si>
    <t>sanket shelatkar</t>
  </si>
  <si>
    <t>leorious kallarakkal</t>
  </si>
  <si>
    <t>Raunak gupta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</si>
</sst>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
  </numFmts>
  <fonts count="3" x14ac:knownFonts="1">
    <font>
      <sz val="11"/>
      <color theme="1"/>
      <name val="Calibri"/>
      <family val="2"/>
      <scheme val="minor"/>
    </font>
    <font>
      <sz val="11"/>
      <color theme="0"/>
      <name val="Calibri"/>
      <family val="2"/>
      <scheme val="minor"/>
    </font>
    <font>
      <sz val="8"/>
      <color rgb="FF000000"/>
      <name val="Segoe UI"/>
      <family val="2"/>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double">
        <color theme="4" tint="-0.24994659260841701"/>
      </left>
      <right style="double">
        <color theme="4" tint="-0.24994659260841701"/>
      </right>
      <top style="double">
        <color theme="4" tint="-0.24994659260841701"/>
      </top>
      <bottom style="double">
        <color theme="4" tint="-0.24994659260841701"/>
      </bottom>
      <diagonal/>
    </border>
  </borders>
  <cellStyleXfs count="1">
    <xf numFmtId="0" fontId="0" fillId="0" borderId="0"/>
  </cellStyleXfs>
  <cellXfs count="14">
    <xf numFmtId="0" fontId="0" fillId="0" borderId="0" xfId="0"/>
    <xf numFmtId="0" fontId="0" fillId="2" borderId="1" xfId="0" applyFill="1" applyBorder="1"/>
    <xf numFmtId="14" fontId="0" fillId="0" borderId="0" xfId="0" applyNumberFormat="1"/>
    <xf numFmtId="0" fontId="0" fillId="0" borderId="1" xfId="0" applyBorder="1" applyAlignment="1">
      <alignment horizontal="right"/>
    </xf>
    <xf numFmtId="0" fontId="1" fillId="0" borderId="0" xfId="0" applyFont="1" applyProtection="1"/>
    <xf numFmtId="0" fontId="1" fillId="0" borderId="0" xfId="0" applyFont="1"/>
    <xf numFmtId="0" fontId="0" fillId="0" borderId="0" xfId="0" pivotButton="1"/>
    <xf numFmtId="0" fontId="0" fillId="0" borderId="0" xfId="0" applyAlignment="1">
      <alignment horizontal="left" indent="1"/>
    </xf>
    <xf numFmtId="0" fontId="0" fillId="0" borderId="0" xfId="0" applyNumberFormat="1"/>
    <xf numFmtId="0" fontId="0" fillId="0" borderId="0" xfId="0" applyAlignment="1">
      <alignment horizontal="left"/>
    </xf>
    <xf numFmtId="164" fontId="0" fillId="0" borderId="1" xfId="0" applyNumberFormat="1" applyBorder="1" applyProtection="1"/>
    <xf numFmtId="164" fontId="0" fillId="0" borderId="0" xfId="0" applyNumberFormat="1"/>
    <xf numFmtId="164" fontId="0" fillId="0" borderId="0" xfId="0" applyNumberFormat="1" applyAlignment="1">
      <alignment horizontal="left"/>
    </xf>
    <xf numFmtId="2" fontId="0" fillId="0" borderId="0" xfId="0" applyNumberFormat="1"/>
  </cellXfs>
  <cellStyles count="1">
    <cellStyle name="Normal" xfId="0" builtinId="0"/>
  </cellStyles>
  <dxfs count="2">
    <dxf>
      <numFmt numFmtId="164" formatCode="[$-409]d\-mmm;@"/>
    </dxf>
    <dxf>
      <font>
        <b/>
        <i/>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4.xml"/><Relationship Id="rId1" Type="http://schemas.microsoft.com/office/2011/relationships/chartStyle" Target="style4.xml"/><Relationship Id="rId4" Type="http://schemas.openxmlformats.org/officeDocument/2006/relationships/image" Target="../media/image2.png"/></Relationships>
</file>

<file path=xl/charts/_rels/chart5.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4.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[Daily EH Tracking sheet (version 1).xlsm]overall EH!PivotTable4</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pivotFmt>
    </c:pivotFmts>
    <c:plotArea>
      <c:layout/>
      <c:barChart>
        <c:barDir val="col"/>
        <c:grouping val="clustered"/>
        <c:varyColors val="0"/>
        <c:ser>
          <c:idx val="0"/>
          <c:order val="0"/>
          <c:tx>
            <c:strRef>
              <c:f>'overall EH'!$B$3</c:f>
              <c:strCache>
                <c:ptCount val="1"/>
                <c:pt idx="0">
                  <c:v>Total</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'overall EH'!$A$4:$A$5</c:f>
              <c:strCache>
                <c:ptCount val="1"/>
                <c:pt idx="0">
                  <c:v>8-Sep</c:v>
                </c:pt>
              </c:strCache>
            </c:strRef>
          </c:cat>
          <c:val>
            <c:numRef>
              <c:f>'overall EH'!$B$4:$B$5</c:f>
              <c:numCache>
                <c:formatCode>0.00</c:formatCode>
                <c:ptCount val="1"/>
                <c:pt idx="0">
                  <c:v>6</c:v>
                </c:pt>
              </c:numCache>
            </c:numRef>
          </c:val>
          <c:extLst>
            <c:ext xmlns:c16="http://schemas.microsoft.com/office/drawing/2014/chart" uri="{C3380CC4-5D6E-409C-BE32-E72D297353CC}">
              <c16:uniqueId val="{00000000-E3F2-4405-9B0A-B5BE869FC690}"/>
            </c:ext>
          </c:extLst>
        </c:ser>
        <c:dLbls>
          <c:showLegendKey val="0"/>
          <c:showVal val="0"/>
          <c:showCatName val="0"/>
          <c:showSerName val="0"/>
          <c:showPercent val="0"/>
          <c:showBubbleSize val="0"/>
        </c:dLbls>
        <c:gapWidth val="219"/>
        <c:overlap val="-27"/>
        <c:axId val="851148552"/>
        <c:axId val="851145600"/>
      </c:barChart>
      <c:catAx>
        <c:axId val="851148552"/>
        <c:scaling>
          <c:orientation val="minMax"/>
        </c:scaling>
        <c:delete val="0"/>
        <c:axPos val="b"/>
        <c:title>
          <c:tx>
            <c:rich>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US" sz="1100" b="1"/>
                  <a:t>Effective</a:t>
                </a:r>
                <a:r>
                  <a:rPr lang="en-US" sz="1100" b="1" baseline="0"/>
                  <a:t> Hours</a:t>
                </a:r>
                <a:endParaRPr lang="en-US" sz="1100" b="1"/>
              </a:p>
            </c:rich>
          </c:tx>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145600"/>
        <c:crosses val="autoZero"/>
        <c:auto val="1"/>
        <c:lblAlgn val="ctr"/>
        <c:lblOffset val="100"/>
        <c:noMultiLvlLbl val="0"/>
      </c:catAx>
      <c:valAx>
        <c:axId val="851145600"/>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148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'overall EH'!$N$4:$N$5</c:f>
              <c:strCache>
                <c:ptCount val="2"/>
                <c:pt idx="0">
                  <c:v>coding metric</c:v>
                </c:pt>
                <c:pt idx="1">
                  <c:v>qc metric</c:v>
                </c:pt>
              </c:strCache>
            </c:strRef>
          </c:cat>
          <c:val>
            <c:numRef>
              <c:f>'overall EH'!$O$4:$O$5</c:f>
              <c:numCache>
                <c:formatCode>0.00</c:formatCode>
                <c:ptCount val="2"/>
                <c:pt idx="0">
                  <c:v>0.93877551020408168</c:v>
                </c:pt>
                <c:pt idx="1">
                  <c:v>0.91428571428571426</c:v>
                </c:pt>
              </c:numCache>
            </c:numRef>
          </c:val>
          <c:extLst>
            <c:ext xmlns:c16="http://schemas.microsoft.com/office/drawing/2014/chart" uri="{C3380CC4-5D6E-409C-BE32-E72D297353CC}">
              <c16:uniqueId val="{00000000-6251-4DEF-BD96-47B328E79EB5}"/>
            </c:ext>
          </c:extLst>
        </c:ser>
        <c:dLbls>
          <c:showLegendKey val="0"/>
          <c:showVal val="0"/>
          <c:showCatName val="0"/>
          <c:showSerName val="0"/>
          <c:showPercent val="0"/>
          <c:showBubbleSize val="0"/>
        </c:dLbls>
        <c:gapWidth val="219"/>
        <c:overlap val="100"/>
        <c:axId val="823751568"/>
        <c:axId val="823752552"/>
      </c:barChart>
      <c:barChart>
        <c:barDir val="col"/>
        <c:grouping val="stacked"/>
        <c:varyColors val="0"/>
        <c:ser>
          <c:idx val="1"/>
          <c:order val="1"/>
          <c:spPr>
            <a:solidFill>
              <a:schemeClr val="accent1">
                <a:lumMod val="40000"/>
                <a:lumOff val="60000"/>
                <a:alpha val="40000"/>
              </a:schemeClr>
            </a:solidFill>
            <a:ln>
              <a:noFill/>
            </a:ln>
            <a:effectLst/>
          </c:spPr>
          <c:invertIfNegative val="0"/>
          <c:cat>
            <c:strRef>
              <c:f>'overall EH'!$N$4:$N$5</c:f>
              <c:strCache>
                <c:ptCount val="2"/>
                <c:pt idx="0">
                  <c:v>coding metric</c:v>
                </c:pt>
                <c:pt idx="1">
                  <c:v>qc metric</c:v>
                </c:pt>
              </c:strCache>
            </c:strRef>
          </c:cat>
          <c:val>
            <c:numRef>
              <c:f>'overall EH'!$P$4:$P$5</c:f>
              <c:numCache>
                <c:formatCode>General</c:formatCode>
                <c:ptCount val="2"/>
                <c:pt idx="0">
                  <c:v>0.4</c:v>
                </c:pt>
                <c:pt idx="1">
                  <c:v>0.8</c:v>
                </c:pt>
              </c:numCache>
            </c:numRef>
          </c:val>
          <c:extLst>
            <c:ext xmlns:c16="http://schemas.microsoft.com/office/drawing/2014/chart" uri="{C3380CC4-5D6E-409C-BE32-E72D297353CC}">
              <c16:uniqueId val="{00000001-6251-4DEF-BD96-47B328E79EB5}"/>
            </c:ext>
          </c:extLst>
        </c:ser>
        <c:dLbls>
          <c:showLegendKey val="0"/>
          <c:showVal val="0"/>
          <c:showCatName val="0"/>
          <c:showSerName val="0"/>
          <c:showPercent val="0"/>
          <c:showBubbleSize val="0"/>
        </c:dLbls>
        <c:gapWidth val="116"/>
        <c:overlap val="100"/>
        <c:axId val="856677408"/>
        <c:axId val="856700696"/>
      </c:barChart>
      <c:catAx>
        <c:axId val="8237515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823752552"/>
        <c:crosses val="autoZero"/>
        <c:auto val="1"/>
        <c:lblAlgn val="ctr"/>
        <c:lblOffset val="100"/>
        <c:noMultiLvlLbl val="0"/>
      </c:catAx>
      <c:valAx>
        <c:axId val="823752552"/>
        <c:scaling>
          <c:orientation val="minMax"/>
        </c:scaling>
        <c:delete val="0"/>
        <c:axPos val="l"/>
        <c:numFmt formatCode="0.0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3751568"/>
        <c:crosses val="autoZero"/>
        <c:crossBetween val="between"/>
      </c:valAx>
      <c:valAx>
        <c:axId val="856700696"/>
        <c:scaling>
          <c:orientation val="minMax"/>
          <c:max val="1"/>
        </c:scaling>
        <c:delete val="1"/>
        <c:axPos val="r"/>
        <c:numFmt formatCode="General" sourceLinked="1"/>
        <c:majorTickMark val="out"/>
        <c:minorTickMark val="none"/>
        <c:tickLblPos val="nextTo"/>
        <c:crossAx val="856677408"/>
        <c:crosses val="max"/>
        <c:crossBetween val="between"/>
      </c:valAx>
      <c:catAx>
        <c:axId val="856677408"/>
        <c:scaling>
          <c:orientation val="minMax"/>
        </c:scaling>
        <c:delete val="1"/>
        <c:axPos val="b"/>
        <c:numFmt formatCode="General" sourceLinked="1"/>
        <c:majorTickMark val="out"/>
        <c:minorTickMark val="none"/>
        <c:tickLblPos val="nextTo"/>
        <c:crossAx val="856700696"/>
        <c:crosses val="autoZero"/>
        <c:auto val="1"/>
        <c:lblAlgn val="ctr"/>
        <c:lblOffset val="100"/>
        <c:noMultiLvlLbl val="0"/>
      </c:cat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[Daily EH Tracking sheet (version 1).xlsm]Individual EH!PivotTable9</c:name>
    <c:fmtId val="3"/>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pivotFmt>
      <c:pivotFmt>
        <c:idx val="5"/>
      </c:pivotFmt>
      <c:pivotFmt>
        <c:idx val="6"/>
      </c:pivotFmt>
      <c:pivotFmt>
        <c:idx val="7"/>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pivotFmt>
    </c:pivotFmts>
    <c:plotArea>
      <c:layout/>
      <c:barChart>
        <c:barDir val="col"/>
        <c:grouping val="clustered"/>
        <c:varyColors val="0"/>
        <c:ser>
          <c:idx val="0"/>
          <c:order val="0"/>
          <c:tx>
            <c:strRef>
              <c:f>'Individual EH'!$B$3</c:f>
              <c:strCache>
                <c:ptCount val="1"/>
                <c:pt idx="0">
                  <c:v>Average of EH</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'Individual EH'!$A$4:$A$6</c:f>
              <c:multiLvlStrCache>
                <c:ptCount val="1"/>
                <c:lvl>
                  <c:pt idx="0">
                    <c:v>Jyoti singh</c:v>
                  </c:pt>
                </c:lvl>
                <c:lvl>
                  <c:pt idx="0">
                    <c:v>9-Sep</c:v>
                  </c:pt>
                </c:lvl>
              </c:multiLvlStrCache>
            </c:multiLvlStrRef>
          </c:cat>
          <c:val>
            <c:numRef>
              <c:f>'Individual EH'!$B$4:$B$6</c:f>
              <c:numCache>
                <c:formatCode>General</c:formatCode>
                <c:ptCount val="1"/>
                <c:pt idx="0">
                  <c:v>6.5</c:v>
                </c:pt>
              </c:numCache>
            </c:numRef>
          </c:val>
          <c:extLst>
            <c:ext xmlns:c16="http://schemas.microsoft.com/office/drawing/2014/chart" uri="{C3380CC4-5D6E-409C-BE32-E72D297353CC}">
              <c16:uniqueId val="{00000000-8482-47D3-A618-B5BECEFA7BE7}"/>
            </c:ext>
          </c:extLst>
        </c:ser>
        <c:ser>
          <c:idx val="1"/>
          <c:order val="1"/>
          <c:tx>
            <c:strRef>
              <c:f>'Individual EH'!$C$3</c:f>
              <c:strCache>
                <c:ptCount val="1"/>
                <c:pt idx="0">
                  <c:v>Average of AH</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'Individual EH'!$A$4:$A$6</c:f>
              <c:multiLvlStrCache>
                <c:ptCount val="1"/>
                <c:lvl>
                  <c:pt idx="0">
                    <c:v>Jyoti singh</c:v>
                  </c:pt>
                </c:lvl>
                <c:lvl>
                  <c:pt idx="0">
                    <c:v>9-Sep</c:v>
                  </c:pt>
                </c:lvl>
              </c:multiLvlStrCache>
            </c:multiLvlStrRef>
          </c:cat>
          <c:val>
            <c:numRef>
              <c:f>'Individual EH'!$C$4:$C$6</c:f>
              <c:numCache>
                <c:formatCode>General</c:formatCode>
                <c:ptCount val="1"/>
                <c:pt idx="0">
                  <c:v>7</c:v>
                </c:pt>
              </c:numCache>
            </c:numRef>
          </c:val>
          <c:extLst>
            <c:ext xmlns:c16="http://schemas.microsoft.com/office/drawing/2014/chart" uri="{C3380CC4-5D6E-409C-BE32-E72D297353CC}">
              <c16:uniqueId val="{00000001-8482-47D3-A618-B5BECEFA7BE7}"/>
            </c:ext>
          </c:extLst>
        </c:ser>
        <c:ser>
          <c:idx val="2"/>
          <c:order val="2"/>
          <c:tx>
            <c:strRef>
              <c:f>'Individual EH'!$D$3</c:f>
              <c:strCache>
                <c:ptCount val="1"/>
                <c:pt idx="0">
                  <c:v>Sum of Coding Km</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'Individual EH'!$A$4:$A$6</c:f>
              <c:multiLvlStrCache>
                <c:ptCount val="1"/>
                <c:lvl>
                  <c:pt idx="0">
                    <c:v>Jyoti singh</c:v>
                  </c:pt>
                </c:lvl>
                <c:lvl>
                  <c:pt idx="0">
                    <c:v>9-Sep</c:v>
                  </c:pt>
                </c:lvl>
              </c:multiLvlStrCache>
            </c:multiLvlStrRef>
          </c:cat>
          <c:val>
            <c:numRef>
              <c:f>'Individual EH'!$D$4:$D$6</c:f>
              <c:numCache>
                <c:formatCode>General</c:formatCode>
                <c:ptCount val="1"/>
                <c:pt idx="0">
                  <c:v>4.2</c:v>
                </c:pt>
              </c:numCache>
            </c:numRef>
          </c:val>
          <c:extLst>
            <c:ext xmlns:c16="http://schemas.microsoft.com/office/drawing/2014/chart" uri="{C3380CC4-5D6E-409C-BE32-E72D297353CC}">
              <c16:uniqueId val="{00000002-8482-47D3-A618-B5BECEFA7BE7}"/>
            </c:ext>
          </c:extLst>
        </c:ser>
        <c:ser>
          <c:idx val="3"/>
          <c:order val="3"/>
          <c:tx>
            <c:strRef>
              <c:f>'Individual EH'!$E$3</c:f>
              <c:strCache>
                <c:ptCount val="1"/>
                <c:pt idx="0">
                  <c:v>Sum of QC Km</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'Individual EH'!$A$4:$A$6</c:f>
              <c:multiLvlStrCache>
                <c:ptCount val="1"/>
                <c:lvl>
                  <c:pt idx="0">
                    <c:v>Jyoti singh</c:v>
                  </c:pt>
                </c:lvl>
                <c:lvl>
                  <c:pt idx="0">
                    <c:v>9-Sep</c:v>
                  </c:pt>
                </c:lvl>
              </c:multiLvlStrCache>
            </c:multiLvlStrRef>
          </c:cat>
          <c:val>
            <c:numRef>
              <c:f>'Individual EH'!$E$4:$E$6</c:f>
              <c:numCache>
                <c:formatCode>General</c:formatCode>
                <c:ptCount val="1"/>
              </c:numCache>
            </c:numRef>
          </c:val>
          <c:extLst>
            <c:ext xmlns:c16="http://schemas.microsoft.com/office/drawing/2014/chart" uri="{C3380CC4-5D6E-409C-BE32-E72D297353CC}">
              <c16:uniqueId val="{00000003-8482-47D3-A618-B5BECEFA7BE7}"/>
            </c:ext>
          </c:extLst>
        </c:ser>
        <c:dLbls>
          <c:showLegendKey val="0"/>
          <c:showVal val="0"/>
          <c:showCatName val="0"/>
          <c:showSerName val="0"/>
          <c:showPercent val="0"/>
          <c:showBubbleSize val="0"/>
        </c:dLbls>
        <c:gapWidth val="75"/>
        <c:overlap val="-25"/>
        <c:axId val="728943960"/>
        <c:axId val="728945272"/>
      </c:barChart>
      <c:catAx>
        <c:axId val="72894396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28945272"/>
        <c:crosses val="autoZero"/>
        <c:auto val="1"/>
        <c:lblAlgn val="ctr"/>
        <c:lblOffset val="100"/>
        <c:noMultiLvlLbl val="0"/>
      </c:catAx>
      <c:valAx>
        <c:axId val="72894527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943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'top performer(coding)'!$C$89</c:f>
              <c:strCache>
                <c:ptCount val="1"/>
                <c:pt idx="0">
                  <c:v>km</c:v>
                </c:pt>
              </c:strCache>
            </c:strRef>
          </c:tx>
          <c:spPr>
            <a:blipFill>
              <a:blip xmlns:r="http://schemas.openxmlformats.org/officeDocument/2006/relationships" r:embed="rId3"/>
              <a:stretch>
                <a:fillRect/>
              </a:stretch>
            </a:blipFill>
            <a:ln>
              <a:noFill/>
            </a:ln>
            <a:effectLst/>
          </c:spPr>
          <c:invertIfNegative val="0"/>
          <c:dLbls>
            <c:dLbl>
              <c:idx val="0"/>
              <c:tx>
                <c:rich>
                  <a:bodyPr/>
                  <a:lstStyle/>
                  <a:p>
                    <a:endParaRPr lang="en-US"/>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C-8B72-4DF1-B3F3-8A83C10A40FF}"/>
                </c:ext>
              </c:extLst>
            </c:dLbl>
            <c:dLbl>
              <c:idx val="1"/>
              <c:tx>
                <c:rich>
                  <a:bodyPr/>
                  <a:lstStyle/>
                  <a:p>
                    <a:fld id="{4E7D03E7-6248-43E2-A3B7-BA08CE8F0216}"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B72-4DF1-B3F3-8A83C10A40FF}"/>
                </c:ext>
              </c:extLst>
            </c:dLbl>
            <c:dLbl>
              <c:idx val="2"/>
              <c:tx>
                <c:rich>
                  <a:bodyPr/>
                  <a:lstStyle/>
                  <a:p>
                    <a:fld id="{13F641F3-47D8-4F90-BDBB-2F94FFFB8002}"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8B72-4DF1-B3F3-8A83C10A40FF}"/>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'top performer(coding)'!$A$90:$A$92</c:f>
              <c:strCache>
                <c:ptCount val="3"/>
                <c:pt idx="0">
                  <c:v>Anmol talreja</c:v>
                </c:pt>
                <c:pt idx="1">
                  <c:v>Jyoti singh</c:v>
                </c:pt>
                <c:pt idx="2">
                  <c:v>Shruti Narkar</c:v>
                </c:pt>
              </c:strCache>
            </c:strRef>
          </c:cat>
          <c:val>
            <c:numRef>
              <c:f>'top performer(coding)'!$C$90:$C$92</c:f>
              <c:numCache>
                <c:formatCode>General</c:formatCode>
                <c:ptCount val="3"/>
                <c:pt idx="0">
                  <c:v>#N/A</c:v>
                </c:pt>
                <c:pt idx="1">
                  <c:v>1</c:v>
                </c:pt>
                <c:pt idx="2">
                  <c:v>1</c:v>
                </c:pt>
              </c:numCache>
            </c:numRef>
          </c:val>
          <c:extLst>
            <c:ext xmlns:c15="http://schemas.microsoft.com/office/drawing/2012/chart" uri="{02D57815-91ED-43cb-92C2-25804820EDAC}">
              <c15:datalabelsRange>
                <c15:f>'top performer(coding)'!$E$90:$E$92</c15:f>
                <c15:dlblRangeCache>
                  <c:ptCount val="3"/>
                  <c:pt idx="0">
                    <c:v> </c:v>
                  </c:pt>
                  <c:pt idx="1">
                    <c:v>4.2</c:v>
                  </c:pt>
                  <c:pt idx="2">
                    <c:v>6</c:v>
                  </c:pt>
                </c15:dlblRangeCache>
              </c15:datalabelsRange>
            </c:ext>
            <c:ext xmlns:c16="http://schemas.microsoft.com/office/drawing/2014/chart" uri="{C3380CC4-5D6E-409C-BE32-E72D297353CC}">
              <c16:uniqueId val="{00000000-8B72-4DF1-B3F3-8A83C10A40FF}"/>
            </c:ext>
          </c:extLst>
        </c:ser>
        <c:ser>
          <c:idx val="1"/>
          <c:order val="1"/>
          <c:tx>
            <c:strRef>
              <c:f>'top performer(coding)'!$D$89</c:f>
              <c:strCache>
                <c:ptCount val="1"/>
                <c:pt idx="0">
                  <c:v>max km</c:v>
                </c:pt>
              </c:strCache>
            </c:strRef>
          </c:tx>
          <c:spPr>
            <a:solidFill>
              <a:schemeClr val="accent2"/>
            </a:solidFill>
            <a:ln>
              <a:noFill/>
            </a:ln>
            <a:effectLst/>
          </c:spPr>
          <c:invertIfNegative val="0"/>
          <c:dPt>
            <c:idx val="0"/>
            <c:invertIfNegative val="0"/>
            <c:bubble3D val="0"/>
            <c:spPr>
              <a:blipFill>
                <a:blip xmlns:r="http://schemas.openxmlformats.org/officeDocument/2006/relationships" r:embed="rId4"/>
                <a:stretch>
                  <a:fillRect/>
                </a:stretch>
              </a:blipFill>
              <a:ln>
                <a:noFill/>
              </a:ln>
              <a:effectLst/>
            </c:spPr>
            <c:extLst>
              <c:ext xmlns:c16="http://schemas.microsoft.com/office/drawing/2014/chart" uri="{C3380CC4-5D6E-409C-BE32-E72D297353CC}">
                <c16:uniqueId val="{0000000B-8B72-4DF1-B3F3-8A83C10A40FF}"/>
              </c:ext>
            </c:extLst>
          </c:dPt>
          <c:dPt>
            <c:idx val="2"/>
            <c:invertIfNegative val="0"/>
            <c:bubble3D val="0"/>
            <c:spPr>
              <a:blipFill>
                <a:blip xmlns:r="http://schemas.openxmlformats.org/officeDocument/2006/relationships" r:embed="rId4"/>
                <a:stretch>
                  <a:fillRect/>
                </a:stretch>
              </a:blipFill>
              <a:ln>
                <a:noFill/>
              </a:ln>
              <a:effectLst/>
            </c:spPr>
            <c:extLst>
              <c:ext xmlns:c16="http://schemas.microsoft.com/office/drawing/2014/chart" uri="{C3380CC4-5D6E-409C-BE32-E72D297353CC}">
                <c16:uniqueId val="{0000000A-8B72-4DF1-B3F3-8A83C10A40FF}"/>
              </c:ext>
            </c:extLst>
          </c:dPt>
          <c:dLbls>
            <c:dLbl>
              <c:idx val="0"/>
              <c:tx>
                <c:rich>
                  <a:bodyPr/>
                  <a:lstStyle/>
                  <a:p>
                    <a:fld id="{F82284E9-A2A9-40E0-8D5D-2B696C87691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B72-4DF1-B3F3-8A83C10A40FF}"/>
                </c:ext>
              </c:extLst>
            </c:dLbl>
            <c:dLbl>
              <c:idx val="1"/>
              <c:tx>
                <c:rich>
                  <a:bodyPr/>
                  <a:lstStyle/>
                  <a:p>
                    <a:endParaRPr lang="en-US"/>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F-8B72-4DF1-B3F3-8A83C10A40FF}"/>
                </c:ext>
              </c:extLst>
            </c:dLbl>
            <c:dLbl>
              <c:idx val="2"/>
              <c:tx>
                <c:rich>
                  <a:bodyPr/>
                  <a:lstStyle/>
                  <a:p>
                    <a:endParaRPr lang="en-US"/>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A-8B72-4DF1-B3F3-8A83C10A40FF}"/>
                </c:ext>
              </c:extLst>
            </c:dLbl>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00B050"/>
                    </a:solidFill>
                    <a:effectLst>
                      <a:glow rad="101600">
                        <a:schemeClr val="accent6">
                          <a:satMod val="175000"/>
                          <a:alpha val="40000"/>
                        </a:schemeClr>
                      </a:glow>
                    </a:effectLst>
                    <a:latin typeface="Arial Black" panose="020B0A04020102020204" pitchFamily="34" charset="0"/>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'top performer(coding)'!$A$90:$A$92</c:f>
              <c:strCache>
                <c:ptCount val="3"/>
                <c:pt idx="0">
                  <c:v>Anmol talreja</c:v>
                </c:pt>
                <c:pt idx="1">
                  <c:v>Jyoti singh</c:v>
                </c:pt>
                <c:pt idx="2">
                  <c:v>Shruti Narkar</c:v>
                </c:pt>
              </c:strCache>
            </c:strRef>
          </c:cat>
          <c:val>
            <c:numRef>
              <c:f>'top performer(coding)'!$D$90:$D$92</c:f>
              <c:numCache>
                <c:formatCode>General</c:formatCode>
                <c:ptCount val="3"/>
                <c:pt idx="0">
                  <c:v>1</c:v>
                </c:pt>
                <c:pt idx="1">
                  <c:v>#N/A</c:v>
                </c:pt>
                <c:pt idx="2">
                  <c:v>#N/A</c:v>
                </c:pt>
              </c:numCache>
            </c:numRef>
          </c:val>
          <c:extLst>
            <c:ext xmlns:c15="http://schemas.microsoft.com/office/drawing/2012/chart" uri="{02D57815-91ED-43cb-92C2-25804820EDAC}">
              <c15:datalabelsRange>
                <c15:f>'top performer(coding)'!$F$90:$F$92</c15:f>
                <c15:dlblRangeCache>
                  <c:ptCount val="3"/>
                  <c:pt idx="0">
                    <c:v>6.6</c:v>
                  </c:pt>
                </c15:dlblRangeCache>
              </c15:datalabelsRange>
            </c:ext>
            <c:ext xmlns:c16="http://schemas.microsoft.com/office/drawing/2014/chart" uri="{C3380CC4-5D6E-409C-BE32-E72D297353CC}">
              <c16:uniqueId val="{00000009-8B72-4DF1-B3F3-8A83C10A40FF}"/>
            </c:ext>
          </c:extLst>
        </c:ser>
        <c:dLbls>
          <c:showLegendKey val="0"/>
          <c:showVal val="0"/>
          <c:showCatName val="0"/>
          <c:showSerName val="0"/>
          <c:showPercent val="0"/>
          <c:showBubbleSize val="0"/>
        </c:dLbls>
        <c:gapWidth val="0"/>
        <c:overlap val="100"/>
        <c:axId val="874598224"/>
        <c:axId val="874600520"/>
      </c:barChart>
      <c:catAx>
        <c:axId val="8745982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874600520"/>
        <c:crosses val="autoZero"/>
        <c:auto val="1"/>
        <c:lblAlgn val="ctr"/>
        <c:lblOffset val="100"/>
        <c:noMultiLvlLbl val="0"/>
      </c:catAx>
      <c:valAx>
        <c:axId val="874600520"/>
        <c:scaling>
          <c:orientation val="minMax"/>
        </c:scaling>
        <c:delete val="1"/>
        <c:axPos val="l"/>
        <c:numFmt formatCode="General" sourceLinked="1"/>
        <c:majorTickMark val="none"/>
        <c:minorTickMark val="none"/>
        <c:tickLblPos val="nextTo"/>
        <c:crossAx val="8745982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'top performer(coding)'!$C$99</c:f>
              <c:strCache>
                <c:ptCount val="1"/>
                <c:pt idx="0">
                  <c:v>qc km</c:v>
                </c:pt>
              </c:strCache>
            </c:strRef>
          </c:tx>
          <c:spPr>
            <a:blipFill>
              <a:blip xmlns:r="http://schemas.openxmlformats.org/officeDocument/2006/relationships" r:embed="rId3"/>
              <a:stretch>
                <a:fillRect/>
              </a:stretch>
            </a:blipFill>
            <a:ln>
              <a:noFill/>
            </a:ln>
            <a:effectLst/>
          </c:spPr>
          <c:invertIfNegative val="0"/>
          <c:dLbls>
            <c:dLbl>
              <c:idx val="0"/>
              <c:tx>
                <c:rich>
                  <a:bodyPr/>
                  <a:lstStyle/>
                  <a:p>
                    <a:fld id="{D6A0ED52-8068-40FD-AD37-F128505AA81E}"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0167-42B8-A084-933FE51C67FD}"/>
                </c:ext>
              </c:extLst>
            </c:dLbl>
            <c:dLbl>
              <c:idx val="1"/>
              <c:tx>
                <c:rich>
                  <a:bodyPr/>
                  <a:lstStyle/>
                  <a:p>
                    <a:fld id="{BC477EB8-5326-41ED-A41B-55078B3FFC5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167-42B8-A084-933FE51C67FD}"/>
                </c:ext>
              </c:extLst>
            </c:dLbl>
            <c:dLbl>
              <c:idx val="2"/>
              <c:tx>
                <c:rich>
                  <a:bodyPr/>
                  <a:lstStyle/>
                  <a:p>
                    <a:endParaRPr lang="en-US"/>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0167-42B8-A084-933FE51C67FD}"/>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rial Black" panose="020B0A04020102020204" pitchFamily="34" charset="0"/>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'top performer(coding)'!$A$100:$A$102</c:f>
              <c:strCache>
                <c:ptCount val="3"/>
                <c:pt idx="0">
                  <c:v>Raunak gupta</c:v>
                </c:pt>
                <c:pt idx="1">
                  <c:v>sanket shelatkar</c:v>
                </c:pt>
                <c:pt idx="2">
                  <c:v>leorious kallarakkal</c:v>
                </c:pt>
              </c:strCache>
            </c:strRef>
          </c:cat>
          <c:val>
            <c:numRef>
              <c:f>'top performer(coding)'!$C$100:$C$102</c:f>
              <c:numCache>
                <c:formatCode>General</c:formatCode>
                <c:ptCount val="3"/>
                <c:pt idx="0">
                  <c:v>1</c:v>
                </c:pt>
                <c:pt idx="1">
                  <c:v>1</c:v>
                </c:pt>
                <c:pt idx="2">
                  <c:v>#N/A</c:v>
                </c:pt>
              </c:numCache>
            </c:numRef>
          </c:val>
          <c:extLst>
            <c:ext xmlns:c15="http://schemas.microsoft.com/office/drawing/2012/chart" uri="{02D57815-91ED-43cb-92C2-25804820EDAC}">
              <c15:datalabelsRange>
                <c15:f>'top performer(coding)'!$E$100:$E$102</c15:f>
                <c15:dlblRangeCache>
                  <c:ptCount val="3"/>
                  <c:pt idx="0">
                    <c:v>6.1</c:v>
                  </c:pt>
                  <c:pt idx="1">
                    <c:v>5.2</c:v>
                  </c:pt>
                  <c:pt idx="2">
                    <c:v> </c:v>
                  </c:pt>
                </c15:dlblRangeCache>
              </c15:datalabelsRange>
            </c:ext>
            <c:ext xmlns:c16="http://schemas.microsoft.com/office/drawing/2014/chart" uri="{C3380CC4-5D6E-409C-BE32-E72D297353CC}">
              <c16:uniqueId val="{00000003-0167-42B8-A084-933FE51C67FD}"/>
            </c:ext>
          </c:extLst>
        </c:ser>
        <c:ser>
          <c:idx val="1"/>
          <c:order val="1"/>
          <c:tx>
            <c:strRef>
              <c:f>'top performer(coding)'!$D$99</c:f>
              <c:strCache>
                <c:ptCount val="1"/>
                <c:pt idx="0">
                  <c:v>max qc km</c:v>
                </c:pt>
              </c:strCache>
            </c:strRef>
          </c:tx>
          <c:spPr>
            <a:blipFill>
              <a:blip xmlns:r="http://schemas.openxmlformats.org/officeDocument/2006/relationships" r:embed="rId4"/>
              <a:stretch>
                <a:fillRect/>
              </a:stretch>
            </a:blipFill>
            <a:ln>
              <a:noFill/>
            </a:ln>
            <a:effectLst/>
          </c:spPr>
          <c:invertIfNegative val="0"/>
          <c:dLbls>
            <c:dLbl>
              <c:idx val="0"/>
              <c:tx>
                <c:rich>
                  <a:bodyPr/>
                  <a:lstStyle/>
                  <a:p>
                    <a:endParaRPr lang="en-US"/>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0167-42B8-A084-933FE51C67FD}"/>
                </c:ext>
              </c:extLst>
            </c:dLbl>
            <c:dLbl>
              <c:idx val="1"/>
              <c:tx>
                <c:rich>
                  <a:bodyPr/>
                  <a:lstStyle/>
                  <a:p>
                    <a:endParaRPr lang="en-US"/>
                  </a:p>
                </c:rich>
              </c:tx>
              <c:dLblPos val="inEnd"/>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0167-42B8-A084-933FE51C67FD}"/>
                </c:ext>
              </c:extLst>
            </c:dLbl>
            <c:dLbl>
              <c:idx val="2"/>
              <c:tx>
                <c:rich>
                  <a:bodyPr/>
                  <a:lstStyle/>
                  <a:p>
                    <a:fld id="{2DC0E6EB-122A-4A72-B8E2-270C4942F04B}"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167-42B8-A084-933FE51C67FD}"/>
                </c:ext>
              </c:extLst>
            </c:dLbl>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00B050"/>
                    </a:solidFill>
                    <a:effectLst>
                      <a:glow rad="101600">
                        <a:schemeClr val="accent6">
                          <a:satMod val="175000"/>
                          <a:alpha val="40000"/>
                        </a:schemeClr>
                      </a:glow>
                    </a:effectLst>
                    <a:latin typeface="Arial Black" panose="020B0A04020102020204" pitchFamily="34" charset="0"/>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'top performer(coding)'!$A$100:$A$102</c:f>
              <c:strCache>
                <c:ptCount val="3"/>
                <c:pt idx="0">
                  <c:v>Raunak gupta</c:v>
                </c:pt>
                <c:pt idx="1">
                  <c:v>sanket shelatkar</c:v>
                </c:pt>
                <c:pt idx="2">
                  <c:v>leorious kallarakkal</c:v>
                </c:pt>
              </c:strCache>
            </c:strRef>
          </c:cat>
          <c:val>
            <c:numRef>
              <c:f>'top performer(coding)'!$D$100:$D$102</c:f>
              <c:numCache>
                <c:formatCode>General</c:formatCode>
                <c:ptCount val="3"/>
                <c:pt idx="0">
                  <c:v>#N/A</c:v>
                </c:pt>
                <c:pt idx="1">
                  <c:v>#N/A</c:v>
                </c:pt>
                <c:pt idx="2">
                  <c:v>1</c:v>
                </c:pt>
              </c:numCache>
            </c:numRef>
          </c:val>
          <c:extLst>
            <c:ext xmlns:c15="http://schemas.microsoft.com/office/drawing/2012/chart" uri="{02D57815-91ED-43cb-92C2-25804820EDAC}">
              <c15:datalabelsRange>
                <c15:f>'top performer(coding)'!$F$100:$F$102</c15:f>
                <c15:dlblRangeCache>
                  <c:ptCount val="3"/>
                  <c:pt idx="2">
                    <c:v>8.2</c:v>
                  </c:pt>
                </c15:dlblRangeCache>
              </c15:datalabelsRange>
            </c:ext>
            <c:ext xmlns:c16="http://schemas.microsoft.com/office/drawing/2014/chart" uri="{C3380CC4-5D6E-409C-BE32-E72D297353CC}">
              <c16:uniqueId val="{00000007-0167-42B8-A084-933FE51C67FD}"/>
            </c:ext>
          </c:extLst>
        </c:ser>
        <c:dLbls>
          <c:showLegendKey val="0"/>
          <c:showVal val="0"/>
          <c:showCatName val="0"/>
          <c:showSerName val="0"/>
          <c:showPercent val="0"/>
          <c:showBubbleSize val="0"/>
        </c:dLbls>
        <c:gapWidth val="0"/>
        <c:overlap val="100"/>
        <c:axId val="851136416"/>
        <c:axId val="851138384"/>
      </c:barChart>
      <c:catAx>
        <c:axId val="851136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851138384"/>
        <c:crosses val="autoZero"/>
        <c:auto val="1"/>
        <c:lblAlgn val="ctr"/>
        <c:lblOffset val="100"/>
        <c:noMultiLvlLbl val="0"/>
      </c:catAx>
      <c:valAx>
        <c:axId val="851138384"/>
        <c:scaling>
          <c:orientation val="minMax"/>
          <c:max val="1.1000000000000001"/>
        </c:scaling>
        <c:delete val="1"/>
        <c:axPos val="l"/>
        <c:numFmt formatCode="General" sourceLinked="1"/>
        <c:majorTickMark val="none"/>
        <c:minorTickMark val="none"/>
        <c:tickLblPos val="nextTo"/>
        <c:crossAx val="851136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N$7" lockText="1" noThreeD="1"/>
</file>

<file path=xl/ctrlProps/ctrlProp2.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19050</xdr:colOff>
      <xdr:row>0</xdr:row>
      <xdr:rowOff>19051</xdr:rowOff>
    </xdr:from>
    <xdr:to>
      <xdr:col>26</xdr:col>
      <xdr:colOff>28575</xdr:colOff>
      <xdr:row>6</xdr:row>
      <xdr:rowOff>19051</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19050" y="19051"/>
          <a:ext cx="15859125" cy="114300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9525</xdr:colOff>
      <xdr:row>24</xdr:row>
      <xdr:rowOff>19050</xdr:rowOff>
    </xdr:from>
    <xdr:to>
      <xdr:col>25</xdr:col>
      <xdr:colOff>581025</xdr:colOff>
      <xdr:row>24</xdr:row>
      <xdr:rowOff>104775</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9525" y="4591050"/>
          <a:ext cx="15811500" cy="85725"/>
        </a:xfrm>
        <a:prstGeom prst="roundRect">
          <a:avLst/>
        </a:prstGeom>
        <a:gradFill>
          <a:gsLst>
            <a:gs pos="0">
              <a:schemeClr val="accent6">
                <a:lumMod val="75000"/>
              </a:schemeClr>
            </a:gs>
            <a:gs pos="100000">
              <a:schemeClr val="accent6">
                <a:lumMod val="60000"/>
                <a:lumOff val="4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590550</xdr:colOff>
      <xdr:row>6</xdr:row>
      <xdr:rowOff>19052</xdr:rowOff>
    </xdr:from>
    <xdr:to>
      <xdr:col>13</xdr:col>
      <xdr:colOff>47625</xdr:colOff>
      <xdr:row>24</xdr:row>
      <xdr:rowOff>38102</xdr:rowOff>
    </xdr:to>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rot="5400000">
          <a:off x="6215063" y="2852739"/>
          <a:ext cx="3448050" cy="66675"/>
        </a:xfrm>
        <a:prstGeom prst="roundRect">
          <a:avLst/>
        </a:prstGeom>
        <a:gradFill>
          <a:gsLst>
            <a:gs pos="0">
              <a:schemeClr val="accent6">
                <a:lumMod val="75000"/>
              </a:schemeClr>
            </a:gs>
            <a:gs pos="100000">
              <a:schemeClr val="accent6">
                <a:lumMod val="60000"/>
                <a:lumOff val="4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40</xdr:row>
      <xdr:rowOff>47625</xdr:rowOff>
    </xdr:from>
    <xdr:to>
      <xdr:col>25</xdr:col>
      <xdr:colOff>571500</xdr:colOff>
      <xdr:row>40</xdr:row>
      <xdr:rowOff>133350</xdr:rowOff>
    </xdr:to>
    <xdr:sp macro="" textlink="">
      <xdr:nvSpPr>
        <xdr:cNvPr id="7" name="Rectangle: Rounded Corners 6">
          <a:extLst>
            <a:ext uri="{FF2B5EF4-FFF2-40B4-BE49-F238E27FC236}">
              <a16:creationId xmlns:a16="http://schemas.microsoft.com/office/drawing/2014/main" id="{00000000-0008-0000-0100-000007000000}"/>
            </a:ext>
          </a:extLst>
        </xdr:cNvPr>
        <xdr:cNvSpPr/>
      </xdr:nvSpPr>
      <xdr:spPr>
        <a:xfrm>
          <a:off x="0" y="7667625"/>
          <a:ext cx="15811500" cy="85725"/>
        </a:xfrm>
        <a:prstGeom prst="roundRect">
          <a:avLst/>
        </a:prstGeom>
        <a:gradFill>
          <a:gsLst>
            <a:gs pos="0">
              <a:schemeClr val="accent6">
                <a:lumMod val="75000"/>
              </a:schemeClr>
            </a:gs>
            <a:gs pos="100000">
              <a:schemeClr val="accent6">
                <a:lumMod val="60000"/>
                <a:lumOff val="4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9526</xdr:colOff>
      <xdr:row>7</xdr:row>
      <xdr:rowOff>57150</xdr:rowOff>
    </xdr:from>
    <xdr:to>
      <xdr:col>2</xdr:col>
      <xdr:colOff>180976</xdr:colOff>
      <xdr:row>21</xdr:row>
      <xdr:rowOff>161925</xdr:rowOff>
    </xdr:to>
    <mc:AlternateContent xmlns:mc="http://schemas.openxmlformats.org/markup-compatibility/2006" xmlns:a14="http://schemas.microsoft.com/office/drawing/2010/main">
      <mc:Choice Requires="a14">
        <xdr:graphicFrame macro="">
          <xdr:nvGraphicFramePr>
            <xdr:cNvPr id="8" name="Date">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9526" y="1390650"/>
              <a:ext cx="1390650" cy="2771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247650</xdr:colOff>
      <xdr:row>7</xdr:row>
      <xdr:rowOff>57151</xdr:rowOff>
    </xdr:from>
    <xdr:to>
      <xdr:col>7</xdr:col>
      <xdr:colOff>476250</xdr:colOff>
      <xdr:row>22</xdr:row>
      <xdr:rowOff>1</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133350</xdr:colOff>
      <xdr:row>7</xdr:row>
      <xdr:rowOff>95250</xdr:rowOff>
    </xdr:from>
    <xdr:to>
      <xdr:col>12</xdr:col>
      <xdr:colOff>590550</xdr:colOff>
      <xdr:row>20</xdr:row>
      <xdr:rowOff>142875</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xdr:col>
      <xdr:colOff>171450</xdr:colOff>
      <xdr:row>18</xdr:row>
      <xdr:rowOff>133351</xdr:rowOff>
    </xdr:from>
    <xdr:to>
      <xdr:col>16</xdr:col>
      <xdr:colOff>123825</xdr:colOff>
      <xdr:row>23</xdr:row>
      <xdr:rowOff>133350</xdr:rowOff>
    </xdr:to>
    <mc:AlternateContent xmlns:mc="http://schemas.openxmlformats.org/markup-compatibility/2006" xmlns:a14="http://schemas.microsoft.com/office/drawing/2010/main">
      <mc:Choice Requires="a14">
        <xdr:graphicFrame macro="">
          <xdr:nvGraphicFramePr>
            <xdr:cNvPr id="11" name="Date 1">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8096250" y="3562351"/>
              <a:ext cx="1781175" cy="952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152400</xdr:colOff>
      <xdr:row>6</xdr:row>
      <xdr:rowOff>76200</xdr:rowOff>
    </xdr:from>
    <xdr:to>
      <xdr:col>16</xdr:col>
      <xdr:colOff>152400</xdr:colOff>
      <xdr:row>18</xdr:row>
      <xdr:rowOff>66675</xdr:rowOff>
    </xdr:to>
    <mc:AlternateContent xmlns:mc="http://schemas.openxmlformats.org/markup-compatibility/2006" xmlns:a14="http://schemas.microsoft.com/office/drawing/2010/main">
      <mc:Choice Requires="a14">
        <xdr:graphicFrame macro="">
          <xdr:nvGraphicFramePr>
            <xdr:cNvPr id="12" name="Name">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8077200" y="1219200"/>
              <a:ext cx="1828800" cy="2276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295276</xdr:colOff>
      <xdr:row>6</xdr:row>
      <xdr:rowOff>171450</xdr:rowOff>
    </xdr:from>
    <xdr:to>
      <xdr:col>24</xdr:col>
      <xdr:colOff>47626</xdr:colOff>
      <xdr:row>22</xdr:row>
      <xdr:rowOff>171449</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28575</xdr:colOff>
      <xdr:row>24</xdr:row>
      <xdr:rowOff>152400</xdr:rowOff>
    </xdr:from>
    <xdr:to>
      <xdr:col>2</xdr:col>
      <xdr:colOff>323850</xdr:colOff>
      <xdr:row>38</xdr:row>
      <xdr:rowOff>9525</xdr:rowOff>
    </xdr:to>
    <mc:AlternateContent xmlns:mc="http://schemas.openxmlformats.org/markup-compatibility/2006" xmlns:a14="http://schemas.microsoft.com/office/drawing/2010/main">
      <mc:Choice Requires="a14">
        <xdr:graphicFrame macro="">
          <xdr:nvGraphicFramePr>
            <xdr:cNvPr id="14" name="Date 2">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Date 2"/>
            </a:graphicData>
          </a:graphic>
        </xdr:graphicFrame>
      </mc:Choice>
      <mc:Fallback xmlns="">
        <xdr:sp macro="" textlink="">
          <xdr:nvSpPr>
            <xdr:cNvPr id="0" name=""/>
            <xdr:cNvSpPr>
              <a:spLocks noTextEdit="1"/>
            </xdr:cNvSpPr>
          </xdr:nvSpPr>
          <xdr:spPr>
            <a:xfrm>
              <a:off x="28575" y="4724400"/>
              <a:ext cx="151447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423861</xdr:colOff>
      <xdr:row>24</xdr:row>
      <xdr:rowOff>152400</xdr:rowOff>
    </xdr:from>
    <xdr:to>
      <xdr:col>11</xdr:col>
      <xdr:colOff>333374</xdr:colOff>
      <xdr:row>37</xdr:row>
      <xdr:rowOff>171450</xdr:rowOff>
    </xdr:to>
    <xdr:graphicFrame macro="">
      <xdr:nvGraphicFramePr>
        <xdr:cNvPr id="21" name="Chart 20">
          <a:extLst>
            <a:ext uri="{FF2B5EF4-FFF2-40B4-BE49-F238E27FC236}">
              <a16:creationId xmlns:a16="http://schemas.microsoft.com/office/drawing/2014/main" id="{00000000-0008-0000-01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57150</xdr:colOff>
      <xdr:row>24</xdr:row>
      <xdr:rowOff>161925</xdr:rowOff>
    </xdr:from>
    <xdr:to>
      <xdr:col>22</xdr:col>
      <xdr:colOff>133350</xdr:colOff>
      <xdr:row>38</xdr:row>
      <xdr:rowOff>0</xdr:rowOff>
    </xdr:to>
    <xdr:graphicFrame macro="">
      <xdr:nvGraphicFramePr>
        <xdr:cNvPr id="26" name="Chart 25">
          <a:extLst>
            <a:ext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47625</xdr:colOff>
      <xdr:row>38</xdr:row>
      <xdr:rowOff>142875</xdr:rowOff>
    </xdr:from>
    <xdr:to>
      <xdr:col>8</xdr:col>
      <xdr:colOff>200025</xdr:colOff>
      <xdr:row>40</xdr:row>
      <xdr:rowOff>0</xdr:rowOff>
    </xdr:to>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3095625" y="7381875"/>
          <a:ext cx="1981200"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Coding</a:t>
          </a:r>
          <a:endParaRPr lang="en-US" sz="1100" b="1"/>
        </a:p>
      </xdr:txBody>
    </xdr:sp>
    <xdr:clientData/>
  </xdr:twoCellAnchor>
  <xdr:twoCellAnchor>
    <xdr:from>
      <xdr:col>15</xdr:col>
      <xdr:colOff>161925</xdr:colOff>
      <xdr:row>38</xdr:row>
      <xdr:rowOff>104775</xdr:rowOff>
    </xdr:from>
    <xdr:to>
      <xdr:col>18</xdr:col>
      <xdr:colOff>314325</xdr:colOff>
      <xdr:row>39</xdr:row>
      <xdr:rowOff>152400</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9305925" y="7343775"/>
          <a:ext cx="1981200"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QC</a:t>
          </a:r>
          <a:endParaRPr lang="en-US" sz="1100" b="1"/>
        </a:p>
      </xdr:txBody>
    </xdr:sp>
    <xdr:clientData/>
  </xdr:twoCellAnchor>
  <xdr:oneCellAnchor>
    <xdr:from>
      <xdr:col>7</xdr:col>
      <xdr:colOff>48148</xdr:colOff>
      <xdr:row>0</xdr:row>
      <xdr:rowOff>88398</xdr:rowOff>
    </xdr:from>
    <xdr:ext cx="5933034" cy="843757"/>
    <xdr:sp macro="" textlink="">
      <xdr:nvSpPr>
        <xdr:cNvPr id="29" name="Rectangle 28">
          <a:extLst>
            <a:ext uri="{FF2B5EF4-FFF2-40B4-BE49-F238E27FC236}">
              <a16:creationId xmlns:a16="http://schemas.microsoft.com/office/drawing/2014/main" id="{00000000-0008-0000-0100-00001D000000}"/>
            </a:ext>
          </a:extLst>
        </xdr:cNvPr>
        <xdr:cNvSpPr/>
      </xdr:nvSpPr>
      <xdr:spPr>
        <a:xfrm>
          <a:off x="4315348" y="88398"/>
          <a:ext cx="5933034" cy="843757"/>
        </a:xfrm>
        <a:prstGeom prst="rect">
          <a:avLst/>
        </a:prstGeom>
        <a:noFill/>
      </xdr:spPr>
      <xdr:txBody>
        <a:bodyPr wrap="none" lIns="91440" tIns="45720" rIns="91440" bIns="45720">
          <a:spAutoFit/>
        </a:bodyPr>
        <a:lstStyle/>
        <a:p>
          <a:pPr algn="ctr"/>
          <a:r>
            <a:rPr lang="en-US" sz="4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TEAM</a:t>
          </a:r>
          <a:r>
            <a:rPr lang="en-US" sz="4800" b="1" cap="none" spc="0" baseline="0">
              <a:ln w="10160">
                <a:solidFill>
                  <a:schemeClr val="accent5"/>
                </a:solidFill>
                <a:prstDash val="solid"/>
              </a:ln>
              <a:solidFill>
                <a:srgbClr val="FFFFFF"/>
              </a:solidFill>
              <a:effectLst>
                <a:outerShdw blurRad="38100" dist="22860" dir="5400000" algn="tl" rotWithShape="0">
                  <a:srgbClr val="000000">
                    <a:alpha val="30000"/>
                  </a:srgbClr>
                </a:outerShdw>
              </a:effectLst>
            </a:rPr>
            <a:t> NITIN WAWHAL</a:t>
          </a:r>
          <a:endParaRPr lang="en-US" sz="4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oneCellAnchor>
  <xdr:twoCellAnchor>
    <xdr:from>
      <xdr:col>5</xdr:col>
      <xdr:colOff>219075</xdr:colOff>
      <xdr:row>22</xdr:row>
      <xdr:rowOff>76200</xdr:rowOff>
    </xdr:from>
    <xdr:to>
      <xdr:col>9</xdr:col>
      <xdr:colOff>28575</xdr:colOff>
      <xdr:row>23</xdr:row>
      <xdr:rowOff>142875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3267075" y="4267200"/>
          <a:ext cx="2247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Aharoni" panose="02010803020104030203" pitchFamily="2" charset="-79"/>
              <a:cs typeface="Aharoni" panose="02010803020104030203" pitchFamily="2" charset="-79"/>
            </a:rPr>
            <a:t>OVERALL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1266825</xdr:colOff>
      <xdr:row>12</xdr:row>
      <xdr:rowOff>104775</xdr:rowOff>
    </xdr:from>
    <xdr:to>
      <xdr:col>5</xdr:col>
      <xdr:colOff>3000375</xdr:colOff>
      <xdr:row>16</xdr:row>
      <xdr:rowOff>47625</xdr:rowOff>
    </xdr:to>
    <xdr:sp macro="[0]!Submit_Data" textlink="">
      <xdr:nvSpPr>
        <xdr:cNvPr id="2" name="Rectangle: Rounded Corners 1">
          <a:extLst>
            <a:ext uri="{FF2B5EF4-FFF2-40B4-BE49-F238E27FC236}">
              <a16:creationId xmlns:a16="http://schemas.microsoft.com/office/drawing/2014/main" id="{00000000-0008-0000-0000-000002000000}"/>
            </a:ext>
          </a:extLst>
        </xdr:cNvPr>
        <xdr:cNvSpPr/>
      </xdr:nvSpPr>
      <xdr:spPr>
        <a:xfrm>
          <a:off x="3705225" y="3571875"/>
          <a:ext cx="3371850" cy="70485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US" sz="2000">
              <a:solidFill>
                <a:schemeClr val="bg1"/>
              </a:solidFill>
            </a:rPr>
            <a:t>Submit</a:t>
          </a:r>
        </a:p>
      </xdr:txBody>
    </xdr:sp>
    <xdr:clientData/>
  </xdr:twoCellAnchor>
  <xdr:oneCellAnchor>
    <xdr:from>
      <xdr:col>4</xdr:col>
      <xdr:colOff>304800</xdr:colOff>
      <xdr:row>0</xdr:row>
      <xdr:rowOff>19050</xdr:rowOff>
    </xdr:from>
    <xdr:ext cx="5027106" cy="561975"/>
    <xdr:sp macro="" textlink="">
      <xdr:nvSpPr>
        <xdr:cNvPr id="3" name="Rectangle 2">
          <a:extLst>
            <a:ext uri="{FF2B5EF4-FFF2-40B4-BE49-F238E27FC236}">
              <a16:creationId xmlns:a16="http://schemas.microsoft.com/office/drawing/2014/main" id="{00000000-0008-0000-0000-000003000000}"/>
            </a:ext>
          </a:extLst>
        </xdr:cNvPr>
        <xdr:cNvSpPr/>
      </xdr:nvSpPr>
      <xdr:spPr>
        <a:xfrm>
          <a:off x="2743200" y="19050"/>
          <a:ext cx="5027106" cy="561975"/>
        </a:xfrm>
        <a:prstGeom prst="rect">
          <a:avLst/>
        </a:prstGeom>
        <a:noFill/>
      </xdr:spPr>
      <xdr:txBody>
        <a:bodyPr wrap="square" lIns="91440" tIns="45720" rIns="91440" bIns="45720">
          <a:noAutofit/>
        </a:bodyPr>
        <a:lstStyle/>
        <a:p>
          <a:pPr algn="ctr"/>
          <a:r>
            <a:rPr lang="en-US" sz="3600" b="1"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latin typeface="Agency FB" panose="020B0503020202020204" pitchFamily="34" charset="0"/>
            </a:rPr>
            <a:t>Daily</a:t>
          </a:r>
          <a:r>
            <a:rPr lang="en-US" sz="3600" b="1" cap="none" spc="0" baseline="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latin typeface="Agency FB" panose="020B0503020202020204" pitchFamily="34" charset="0"/>
            </a:rPr>
            <a:t> Tracking</a:t>
          </a:r>
          <a:r>
            <a:rPr lang="en-US" sz="3600" b="1"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latin typeface="Agency FB" panose="020B0503020202020204" pitchFamily="34" charset="0"/>
            </a:rPr>
            <a:t> Form</a:t>
          </a:r>
        </a:p>
      </xdr:txBody>
    </xdr:sp>
    <xdr:clientData/>
  </xdr:oneCellAnchor>
  <mc:AlternateContent xmlns:mc="http://schemas.openxmlformats.org/markup-compatibility/2006">
    <mc:Choice xmlns:a14="http://schemas.microsoft.com/office/drawing/2010/main" Requires="a14">
      <xdr:twoCellAnchor editAs="oneCell">
        <xdr:from>
          <xdr:col>5</xdr:col>
          <xdr:colOff>104775</xdr:colOff>
          <xdr:row>8</xdr:row>
          <xdr:rowOff>123825</xdr:rowOff>
        </xdr:from>
        <xdr:to>
          <xdr:col>5</xdr:col>
          <xdr:colOff>1428750</xdr:colOff>
          <xdr:row>8</xdr:row>
          <xdr:rowOff>457200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Coding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1676400</xdr:colOff>
          <xdr:row>8</xdr:row>
          <xdr:rowOff>114300</xdr:rowOff>
        </xdr:from>
        <xdr:to>
          <xdr:col>5</xdr:col>
          <xdr:colOff>3000375</xdr:colOff>
          <xdr:row>8</xdr:row>
          <xdr:rowOff>447675</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QC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13</xdr:col>
      <xdr:colOff>0</xdr:colOff>
      <xdr:row>87</xdr:row>
      <xdr:rowOff>0</xdr:rowOff>
    </xdr:from>
    <xdr:to>
      <xdr:col>17</xdr:col>
      <xdr:colOff>305038</xdr:colOff>
      <xdr:row>98</xdr:row>
      <xdr:rowOff>117540</xdr:rowOff>
    </xdr:to>
    <xdr:pic>
      <xdr:nvPicPr>
        <xdr:cNvPr id="27" name="Picture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1"/>
        <a:stretch>
          <a:fillRect/>
        </a:stretch>
      </xdr:blipFill>
      <xdr:spPr>
        <a:xfrm>
          <a:off x="9963150" y="16573500"/>
          <a:ext cx="2743438" cy="2213040"/>
        </a:xfrm>
        <a:prstGeom prst="rect">
          <a:avLst/>
        </a:prstGeom>
      </xdr:spPr>
    </xdr:pic>
    <xdr:clientData/>
  </xdr:twoCellAnchor>
  <xdr:twoCellAnchor editAs="oneCell">
    <xdr:from>
      <xdr:col>17</xdr:col>
      <xdr:colOff>0</xdr:colOff>
      <xdr:row>79</xdr:row>
      <xdr:rowOff>0</xdr:rowOff>
    </xdr:from>
    <xdr:to>
      <xdr:col>21</xdr:col>
      <xdr:colOff>298941</xdr:colOff>
      <xdr:row>90</xdr:row>
      <xdr:rowOff>117540</xdr:rowOff>
    </xdr:to>
    <xdr:pic>
      <xdr:nvPicPr>
        <xdr:cNvPr id="29" name="Picture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2"/>
        <a:stretch>
          <a:fillRect/>
        </a:stretch>
      </xdr:blipFill>
      <xdr:spPr>
        <a:xfrm>
          <a:off x="12401550" y="15049500"/>
          <a:ext cx="2737341" cy="221304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Shelatkar, Sanket" refreshedDate="44623.639689467593" createdVersion="6" refreshedVersion="7" minRefreshableVersion="3" recordCount="14" xr:uid="{B1801EA4-5C49-4C69-B104-4D75F6676423}">
  <cacheSource type="worksheet">
    <worksheetSource name="Table1"/>
  </cacheSource>
  <cacheFields count="6">
    <cacheField name="Date" numFmtId="164">
      <sharedItems containsSemiMixedTypes="0" containsNonDate="0" containsDate="1" containsString="0" minDate="2020-09-07T00:00:00" maxDate="2020-09-11T00:00:00" count="4">
        <d v="2020-09-08T00:00:00"/>
        <d v="2020-09-09T00:00:00"/>
        <d v="2020-09-10T00:00:00" u="1"/>
        <d v="2020-09-07T00:00:00" u="1"/>
      </sharedItems>
    </cacheField>
    <cacheField name="Name" numFmtId="0">
      <sharedItems containsBlank="1" count="12">
        <s v="Jyoti singh"/>
        <s v="Anmol talreja"/>
        <s v="Tejas kamble"/>
        <s v="Shruti Narkar"/>
        <s v="sanket shelatkar"/>
        <s v="leorious kallarakkal"/>
        <s v="Raunak gupta"/>
        <m u="1"/>
        <s v="Anish  Parab" u="1"/>
        <s v="Sachin Bavaskar" u="1"/>
        <s v="bhadresh solanki" u="1"/>
        <s v="balamurugan" u="1"/>
      </sharedItems>
    </cacheField>
    <cacheField name="EH" numFmtId="0">
      <sharedItems containsSemiMixedTypes="0" containsString="0" containsNumber="1" minValue="3" maxValue="7"/>
    </cacheField>
    <cacheField name="AH" numFmtId="0">
      <sharedItems containsString="0" containsBlank="1" containsNumber="1" containsInteger="1" minValue="5" maxValue="8"/>
    </cacheField>
    <cacheField name="Coding Km" numFmtId="0">
      <sharedItems containsString="0" containsBlank="1" containsNumber="1" minValue="2" maxValue="8"/>
    </cacheField>
    <cacheField name="QC Km" numFmtId="0">
      <sharedItems containsString="0" containsBlank="1" containsNumber="1" minValue="2" maxValue="8.1999999999999993"/>
    </cacheField>
  </cacheFields>
  <extLst>
    <ext xmlns:x14="http://schemas.microsoft.com/office/spreadsheetml/2009/9/main" uri="{725AE2AE-9491-48be-B2B4-4EB974FC3084}">
      <x14:pivotCacheDefinition pivotCacheId="8397033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x v="0"/>
    <x v="0"/>
    <n v="6"/>
    <n v="7"/>
    <n v="5"/>
    <m/>
  </r>
  <r>
    <x v="0"/>
    <x v="1"/>
    <n v="7"/>
    <n v="7"/>
    <n v="6"/>
    <m/>
  </r>
  <r>
    <x v="0"/>
    <x v="2"/>
    <n v="6.5"/>
    <n v="8"/>
    <n v="4"/>
    <m/>
  </r>
  <r>
    <x v="0"/>
    <x v="3"/>
    <n v="5"/>
    <n v="8"/>
    <n v="8"/>
    <m/>
  </r>
  <r>
    <x v="0"/>
    <x v="4"/>
    <n v="6"/>
    <n v="6"/>
    <m/>
    <n v="2"/>
  </r>
  <r>
    <x v="0"/>
    <x v="5"/>
    <n v="7"/>
    <n v="5"/>
    <m/>
    <n v="6"/>
  </r>
  <r>
    <x v="0"/>
    <x v="6"/>
    <n v="4.5"/>
    <m/>
    <m/>
    <n v="8"/>
  </r>
  <r>
    <x v="1"/>
    <x v="0"/>
    <n v="6.5"/>
    <n v="7"/>
    <n v="4.2"/>
    <m/>
  </r>
  <r>
    <x v="1"/>
    <x v="1"/>
    <n v="6"/>
    <n v="7"/>
    <n v="6.6"/>
    <m/>
  </r>
  <r>
    <x v="1"/>
    <x v="2"/>
    <n v="5"/>
    <n v="6"/>
    <n v="2"/>
    <m/>
  </r>
  <r>
    <x v="1"/>
    <x v="3"/>
    <n v="7"/>
    <n v="6"/>
    <n v="6"/>
    <m/>
  </r>
  <r>
    <x v="1"/>
    <x v="4"/>
    <n v="3"/>
    <n v="6"/>
    <m/>
    <n v="5.2"/>
  </r>
  <r>
    <x v="1"/>
    <x v="5"/>
    <n v="7"/>
    <n v="8"/>
    <m/>
    <n v="8.1999999999999993"/>
  </r>
  <r>
    <x v="1"/>
    <x v="6"/>
    <n v="5"/>
    <n v="7"/>
    <m/>
    <n v="6.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5BF4F44-F03F-44B0-AA2A-1CAAB45B3A7A}" name="PivotTable2" cacheId="4"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chartFormat="14">
  <location ref="A3:B7" firstHeaderRow="1" firstDataRow="2" firstDataCol="1"/>
  <pivotFields count="6">
    <pivotField axis="axisCol" numFmtId="164" showAll="0">
      <items count="5">
        <item h="1" m="1" x="3"/>
        <item h="1" x="0"/>
        <item x="1"/>
        <item h="1" m="1" x="2"/>
        <item t="default"/>
      </items>
    </pivotField>
    <pivotField axis="axisRow" showAll="0" measureFilter="1">
      <items count="13">
        <item x="1"/>
        <item m="1" x="11"/>
        <item x="6"/>
        <item m="1" x="9"/>
        <item x="4"/>
        <item x="0"/>
        <item x="3"/>
        <item m="1" x="7"/>
        <item m="1" x="8"/>
        <item m="1" x="10"/>
        <item x="2"/>
        <item x="5"/>
        <item t="default"/>
      </items>
    </pivotField>
    <pivotField showAll="0"/>
    <pivotField showAll="0"/>
    <pivotField dataField="1" showAll="0"/>
    <pivotField showAll="0"/>
  </pivotFields>
  <rowFields count="1">
    <field x="1"/>
  </rowFields>
  <rowItems count="3">
    <i>
      <x/>
    </i>
    <i>
      <x v="5"/>
    </i>
    <i>
      <x v="6"/>
    </i>
  </rowItems>
  <colFields count="1">
    <field x="0"/>
  </colFields>
  <colItems count="1">
    <i>
      <x v="2"/>
    </i>
  </colItems>
  <dataFields count="1">
    <dataField name="Sum of Coding Km" fld="4" baseField="1" baseItem="3"/>
  </dataFields>
  <pivotTableStyleInfo name="PivotStyleLight16" showRowHeaders="1" showColHeaders="1" showRowStripes="0" showColStripes="0" showLastColumn="1"/>
  <filters count="1">
    <filter fld="1" type="valueGreaterThanOrEqual" evalOrder="-1" id="10" iMeasureFld="0">
      <autoFilter ref="A1">
        <filterColumn colId="0">
          <customFilters>
            <customFilter operator="greaterThanOrEqual" val="3"/>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C8B3F09-AFC7-45EC-B784-A231AFD75198}" name="PivotTable11" cacheId="4"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location ref="A13:B17" firstHeaderRow="1" firstDataRow="2" firstDataCol="1"/>
  <pivotFields count="6">
    <pivotField axis="axisCol" numFmtId="164" showAll="0">
      <items count="5">
        <item h="1" m="1" x="3"/>
        <item h="1" x="0"/>
        <item x="1"/>
        <item h="1" m="1" x="2"/>
        <item t="default"/>
      </items>
    </pivotField>
    <pivotField axis="axisRow" showAll="0" measureFilter="1">
      <items count="13">
        <item x="1"/>
        <item m="1" x="11"/>
        <item x="0"/>
        <item x="6"/>
        <item m="1" x="9"/>
        <item x="4"/>
        <item x="3"/>
        <item m="1" x="7"/>
        <item m="1" x="8"/>
        <item m="1" x="10"/>
        <item x="2"/>
        <item x="5"/>
        <item t="default"/>
      </items>
    </pivotField>
    <pivotField showAll="0"/>
    <pivotField showAll="0"/>
    <pivotField showAll="0"/>
    <pivotField dataField="1" showAll="0"/>
  </pivotFields>
  <rowFields count="1">
    <field x="1"/>
  </rowFields>
  <rowItems count="3">
    <i>
      <x v="3"/>
    </i>
    <i>
      <x v="5"/>
    </i>
    <i>
      <x v="11"/>
    </i>
  </rowItems>
  <colFields count="1">
    <field x="0"/>
  </colFields>
  <colItems count="1">
    <i>
      <x v="2"/>
    </i>
  </colItems>
  <dataFields count="1">
    <dataField name="Sum of QC Km" fld="5" baseField="0" baseItem="0"/>
  </dataFields>
  <pivotTableStyleInfo name="PivotStyleLight16" showRowHeaders="1" showColHeaders="1" showRowStripes="0" showColStripes="0" showLastColumn="1"/>
  <filters count="1">
    <filter fld="1" type="valueGreaterThanOrEqual" evalOrder="-1" id="10" iMeasureFld="0">
      <autoFilter ref="A1">
        <filterColumn colId="0">
          <customFilters>
            <customFilter operator="greaterThanOrEqual" val="5.2"/>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77AF94E-92A1-40E1-98A1-1AFABC13FC63}" name="PivotTable4" cacheId="4" applyNumberFormats="0" applyBorderFormats="0" applyFontFormats="0" applyPatternFormats="0" applyAlignmentFormats="0" applyWidthHeightFormats="1" dataCaption="Values" updatedVersion="7" minRefreshableVersion="3" useAutoFormatting="1" colGrandTotals="0" itemPrintTitles="1" createdVersion="6" indent="0" outline="1" outlineData="1" multipleFieldFilters="0" chartFormat="4">
  <location ref="A3:B5" firstHeaderRow="1" firstDataRow="1" firstDataCol="1"/>
  <pivotFields count="6">
    <pivotField axis="axisRow" numFmtId="164" showAll="0">
      <items count="5">
        <item h="1" m="1" x="3"/>
        <item x="0"/>
        <item h="1" x="1"/>
        <item h="1" m="1" x="2"/>
        <item t="default"/>
      </items>
    </pivotField>
    <pivotField showAll="0"/>
    <pivotField dataField="1" showAll="0"/>
    <pivotField showAll="0"/>
    <pivotField showAll="0"/>
    <pivotField showAll="0"/>
  </pivotFields>
  <rowFields count="1">
    <field x="0"/>
  </rowFields>
  <rowItems count="2">
    <i>
      <x v="1"/>
    </i>
    <i t="grand">
      <x/>
    </i>
  </rowItems>
  <colItems count="1">
    <i/>
  </colItems>
  <dataFields count="1">
    <dataField name="Average of EH" fld="2" subtotal="average" baseField="1" baseItem="0" numFmtId="2"/>
  </dataFields>
  <chartFormats count="2">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F7A0774-F7B7-48C6-92AB-5FB74844B1ED}" name="PivotTable8"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I3:K8" firstHeaderRow="0" firstDataRow="1" firstDataCol="1"/>
  <pivotFields count="6">
    <pivotField axis="axisRow" numFmtId="164" showAll="0">
      <items count="5">
        <item h="1" m="1" x="3"/>
        <item x="0"/>
        <item h="1" x="1"/>
        <item h="1" m="1" x="2"/>
        <item t="default"/>
      </items>
    </pivotField>
    <pivotField axis="axisRow" showAll="0" measureFilter="1">
      <items count="13">
        <item x="1"/>
        <item m="1" x="11"/>
        <item x="0"/>
        <item x="6"/>
        <item m="1" x="9"/>
        <item x="4"/>
        <item x="3"/>
        <item m="1" x="7"/>
        <item m="1" x="8"/>
        <item m="1" x="10"/>
        <item x="2"/>
        <item x="5"/>
        <item t="default"/>
      </items>
    </pivotField>
    <pivotField dataField="1" showAll="0"/>
    <pivotField showAll="0"/>
    <pivotField showAll="0"/>
    <pivotField dataField="1" showAll="0"/>
  </pivotFields>
  <rowFields count="2">
    <field x="0"/>
    <field x="1"/>
  </rowFields>
  <rowItems count="5">
    <i>
      <x v="1"/>
    </i>
    <i r="1">
      <x v="3"/>
    </i>
    <i r="1">
      <x v="5"/>
    </i>
    <i r="1">
      <x v="11"/>
    </i>
    <i t="grand">
      <x/>
    </i>
  </rowItems>
  <colFields count="1">
    <field x="-2"/>
  </colFields>
  <colItems count="2">
    <i>
      <x/>
    </i>
    <i i="1">
      <x v="1"/>
    </i>
  </colItems>
  <dataFields count="2">
    <dataField name="Sum of QC Km" fld="5" baseField="0" baseItem="0"/>
    <dataField name="Sum of EH" fld="2" baseField="0" baseItem="0"/>
  </dataFields>
  <pivotTableStyleInfo name="PivotStyleLight16" showRowHeaders="1" showColHeaders="1" showRowStripes="0" showColStripes="0" showLastColumn="1"/>
  <filters count="1">
    <filter fld="1" type="valueNotEqual" evalOrder="-1" id="1"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E0D8E6-A037-43CB-95AB-432D89AC9A10}" name="PivotTable7"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E3:G9" firstHeaderRow="0" firstDataRow="1" firstDataCol="1"/>
  <pivotFields count="6">
    <pivotField axis="axisRow" numFmtId="164" showAll="0">
      <items count="5">
        <item h="1" m="1" x="3"/>
        <item x="0"/>
        <item h="1" x="1"/>
        <item h="1" m="1" x="2"/>
        <item t="default"/>
      </items>
    </pivotField>
    <pivotField axis="axisRow" showAll="0" measureFilter="1">
      <items count="13">
        <item x="1"/>
        <item m="1" x="11"/>
        <item x="0"/>
        <item x="6"/>
        <item m="1" x="9"/>
        <item x="4"/>
        <item x="3"/>
        <item m="1" x="7"/>
        <item m="1" x="8"/>
        <item m="1" x="10"/>
        <item x="2"/>
        <item x="5"/>
        <item t="default"/>
      </items>
    </pivotField>
    <pivotField dataField="1" showAll="0"/>
    <pivotField showAll="0"/>
    <pivotField dataField="1" showAll="0"/>
    <pivotField showAll="0"/>
  </pivotFields>
  <rowFields count="2">
    <field x="0"/>
    <field x="1"/>
  </rowFields>
  <rowItems count="6">
    <i>
      <x v="1"/>
    </i>
    <i r="1">
      <x/>
    </i>
    <i r="1">
      <x v="2"/>
    </i>
    <i r="1">
      <x v="6"/>
    </i>
    <i r="1">
      <x v="10"/>
    </i>
    <i t="grand">
      <x/>
    </i>
  </rowItems>
  <colFields count="1">
    <field x="-2"/>
  </colFields>
  <colItems count="2">
    <i>
      <x/>
    </i>
    <i i="1">
      <x v="1"/>
    </i>
  </colItems>
  <dataFields count="2">
    <dataField name="Sum of Coding Km" fld="4" baseField="0" baseItem="0"/>
    <dataField name="Sum of EH" fld="2" baseField="0" baseItem="0"/>
  </dataFields>
  <pivotTableStyleInfo name="PivotStyleLight16" showRowHeaders="1" showColHeaders="1" showRowStripes="0" showColStripes="0" showLastColumn="1"/>
  <filters count="1">
    <filter fld="1" type="valueNotEqual" evalOrder="-1" id="3"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CAF1657-A7A0-43DB-ADF1-CB2D2084E206}" name="PivotTable9"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4">
  <location ref="A3:E6" firstHeaderRow="0" firstDataRow="1" firstDataCol="1"/>
  <pivotFields count="6">
    <pivotField axis="axisRow" numFmtId="164" showAll="0">
      <items count="5">
        <item h="1" m="1" x="3"/>
        <item h="1" x="0"/>
        <item x="1"/>
        <item h="1" m="1" x="2"/>
        <item t="default"/>
      </items>
    </pivotField>
    <pivotField axis="axisRow" showAll="0">
      <items count="13">
        <item h="1" x="1"/>
        <item h="1" m="1" x="11"/>
        <item x="0"/>
        <item h="1" x="6"/>
        <item h="1" m="1" x="9"/>
        <item h="1" x="4"/>
        <item h="1" x="3"/>
        <item h="1" m="1" x="7"/>
        <item h="1" m="1" x="8"/>
        <item h="1" m="1" x="10"/>
        <item h="1" x="2"/>
        <item h="1" x="5"/>
        <item t="default"/>
      </items>
    </pivotField>
    <pivotField dataField="1" showAll="0"/>
    <pivotField dataField="1" showAll="0"/>
    <pivotField dataField="1" showAll="0"/>
    <pivotField dataField="1" showAll="0"/>
  </pivotFields>
  <rowFields count="2">
    <field x="0"/>
    <field x="1"/>
  </rowFields>
  <rowItems count="3">
    <i>
      <x v="2"/>
    </i>
    <i r="1">
      <x v="2"/>
    </i>
    <i t="grand">
      <x/>
    </i>
  </rowItems>
  <colFields count="1">
    <field x="-2"/>
  </colFields>
  <colItems count="4">
    <i>
      <x/>
    </i>
    <i i="1">
      <x v="1"/>
    </i>
    <i i="2">
      <x v="2"/>
    </i>
    <i i="3">
      <x v="3"/>
    </i>
  </colItems>
  <dataFields count="4">
    <dataField name="Average of EH" fld="2" subtotal="average" baseField="0" baseItem="0"/>
    <dataField name="Average of AH" fld="3" subtotal="average" baseField="0" baseItem="0"/>
    <dataField name="Sum of Coding Km" fld="4" baseField="0" baseItem="0"/>
    <dataField name="Sum of QC Km" fld="5" baseField="0" baseItem="0"/>
  </dataFields>
  <chartFormats count="10">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1"/>
          </reference>
        </references>
      </pivotArea>
    </chartFormat>
    <chartFormat chart="2" format="10" series="1">
      <pivotArea type="data" outline="0" fieldPosition="0">
        <references count="1">
          <reference field="4294967294" count="1" selected="0">
            <x v="2"/>
          </reference>
        </references>
      </pivotArea>
    </chartFormat>
    <chartFormat chart="2" format="11" series="1">
      <pivotArea type="data" outline="0" fieldPosition="0">
        <references count="1">
          <reference field="4294967294" count="1" selected="0">
            <x v="3"/>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pivotArea type="data" outline="0" fieldPosition="0">
        <references count="3">
          <reference field="4294967294" count="1" selected="0">
            <x v="0"/>
          </reference>
          <reference field="0" count="1" selected="0">
            <x v="0"/>
          </reference>
          <reference field="1" count="1" selected="0">
            <x v="5"/>
          </reference>
        </references>
      </pivotArea>
    </chartFormat>
    <chartFormat chart="3" format="16">
      <pivotArea type="data" outline="0" fieldPosition="0">
        <references count="3">
          <reference field="4294967294" count="1" selected="0">
            <x v="2"/>
          </reference>
          <reference field="0" count="1" selected="0">
            <x v="1"/>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73E65E0A-2DA8-4B56-A743-0851316409AC}" sourceName="Date">
  <pivotTables>
    <pivotTable tabId="6" name="PivotTable8"/>
    <pivotTable tabId="6" name="PivotTable7"/>
    <pivotTable tabId="6" name="PivotTable4"/>
  </pivotTables>
  <data>
    <tabular pivotCacheId="839703332" showMissing="0">
      <items count="4">
        <i x="0" s="1"/>
        <i x="1"/>
        <i x="3" nd="1"/>
        <i x="2"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 xr10:uid="{CE770226-0A55-4AAD-8CBB-1E51FEA8C285}" sourceName="Date">
  <pivotTables>
    <pivotTable tabId="8" name="PivotTable9"/>
  </pivotTables>
  <data>
    <tabular pivotCacheId="839703332">
      <items count="4">
        <i x="0"/>
        <i x="1" s="1"/>
        <i x="3" nd="1"/>
        <i x="2"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99F78130-77D0-4DE9-9582-1BF3FDB8C97C}" sourceName="Name">
  <pivotTables>
    <pivotTable tabId="8" name="PivotTable9"/>
  </pivotTables>
  <data>
    <tabular pivotCacheId="839703332">
      <items count="12">
        <i x="6"/>
        <i x="1"/>
        <i x="0" s="1"/>
        <i x="5"/>
        <i x="4"/>
        <i x="3"/>
        <i x="2"/>
        <i x="9" nd="1"/>
        <i x="8" nd="1"/>
        <i x="11" nd="1"/>
        <i x="10" nd="1"/>
        <i x="7"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2" xr10:uid="{D5B0C281-F7C2-48B6-9F00-740E80B1A098}" sourceName="Date">
  <pivotTables>
    <pivotTable tabId="4" name="PivotTable2"/>
    <pivotTable tabId="4" name="PivotTable11"/>
  </pivotTables>
  <data>
    <tabular pivotCacheId="839703332">
      <items count="4">
        <i x="0"/>
        <i x="1" s="1"/>
        <i x="3" nd="1"/>
        <i x="2"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048133C3-03B8-4ED1-9196-2986D7EFE695}" cache="Slicer_Date" caption="Date" style="SlicerStyleLight6" rowHeight="241300"/>
  <slicer name="Date 1" xr10:uid="{3EA948E9-80E2-40A9-88E1-544776E15AC1}" cache="Slicer_Date1" caption="Date" style="SlicerStyleLight6" rowHeight="241300"/>
  <slicer name="Name" xr10:uid="{3DD8EC69-5A0A-4A42-A64C-4E4B4D1C35F6}" cache="Slicer_Name" caption="Name" style="SlicerStyleLight6" rowHeight="241300"/>
  <slicer name="Date 2" xr10:uid="{BC9D8C2C-4843-43EF-8472-B51933F17583}" cache="Slicer_Date2" caption="Date"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86E14E-3202-4124-BC57-13BD23BB1E55}" name="Table1" displayName="Table1" ref="B2:G16" totalsRowShown="0">
  <autoFilter ref="B2:G16" xr:uid="{510999BA-CFB4-4069-B43C-58B59E15354D}"/>
  <tableColumns count="6">
    <tableColumn id="1" xr3:uid="{A9C4040E-2D23-4BCD-8A31-1BB59A2E20BB}" name="Date" dataDxfId="0"/>
    <tableColumn id="2" xr3:uid="{8D48526B-4394-4F7E-860D-D8814A4FE99E}" name="Name"/>
    <tableColumn id="3" xr3:uid="{BA8CF55B-3D5D-481A-8331-4E4C627A03B8}" name="EH"/>
    <tableColumn id="4" xr3:uid="{2C543834-8F98-4C91-A399-396D0770E14F}" name="AH"/>
    <tableColumn id="5" xr3:uid="{6D761A86-C346-401B-B49D-FB6053044D61}" name="Coding Km"/>
    <tableColumn id="6" xr3:uid="{35F720D9-A70B-4DED-998C-311B7EE558F4}" name="QC K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4C081-2807-4B0D-9A60-CE3651A3FF7F}">
  <sheetPr codeName="Sheet6"/>
  <dimension ref="A1"/>
  <sheetViews>
    <sheetView showGridLines="0" tabSelected="1" topLeftCell="A3" workbookViewId="0">
      <selection activeCell="L22" sqref="L22"/>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C2397-BAA5-479A-8C18-7BCBE2197581}">
  <sheetPr codeName="Sheet1"/>
  <dimension ref="E4:N11"/>
  <sheetViews>
    <sheetView showGridLines="0" workbookViewId="0">
      <selection activeCell="P10" sqref="P10"/>
    </sheetView>
  </sheetViews>
  <sheetFormatPr defaultRowHeight="15" x14ac:dyDescent="0.25"/>
  <cols>
    <col min="5" max="5" width="24.5703125" bestFit="1" customWidth="1"/>
    <col min="6" max="6" width="53.85546875" customWidth="1"/>
  </cols>
  <sheetData>
    <row r="4" spans="5:14" ht="12.75" customHeight="1" thickBot="1" x14ac:dyDescent="0.3"/>
    <row r="5" spans="5:14" ht="30.75" customHeight="1" thickTop="1" thickBot="1" x14ac:dyDescent="0.3">
      <c r="E5" s="1" t="s">
        <v>1</v>
      </c>
      <c r="F5" s="10">
        <f ca="1">WORKDAY(TODAY(),-1)</f>
        <v>44622</v>
      </c>
    </row>
    <row r="6" spans="5:14" ht="29.25" customHeight="1" thickTop="1" thickBot="1" x14ac:dyDescent="0.3">
      <c r="E6" s="1" t="s">
        <v>0</v>
      </c>
      <c r="F6" s="3"/>
      <c r="K6" s="4" t="b">
        <f>ISBLANK(F6)</f>
        <v>1</v>
      </c>
      <c r="L6" s="5"/>
      <c r="M6" s="5"/>
      <c r="N6" s="5"/>
    </row>
    <row r="7" spans="5:14" ht="36" customHeight="1" thickTop="1" thickBot="1" x14ac:dyDescent="0.3">
      <c r="E7" s="1" t="s">
        <v>5</v>
      </c>
      <c r="F7" s="3"/>
      <c r="K7" s="4" t="b">
        <f>OR(ISTEXT(F7),ISBLANK(F7))</f>
        <v>1</v>
      </c>
      <c r="L7" s="5"/>
      <c r="M7" s="5"/>
      <c r="N7" s="5">
        <v>2</v>
      </c>
    </row>
    <row r="8" spans="5:14" ht="42" customHeight="1" thickTop="1" thickBot="1" x14ac:dyDescent="0.3">
      <c r="E8" s="1" t="s">
        <v>6</v>
      </c>
      <c r="F8" s="3"/>
      <c r="K8" s="4" t="b">
        <f>OR(ISTEXT(F8),ISBLANK(F8))</f>
        <v>1</v>
      </c>
      <c r="L8" s="5"/>
      <c r="M8" s="5"/>
      <c r="N8" s="5"/>
    </row>
    <row r="9" spans="5:14" ht="42" customHeight="1" thickTop="1" thickBot="1" x14ac:dyDescent="0.3">
      <c r="E9" s="1"/>
      <c r="F9" s="3"/>
      <c r="K9" s="4"/>
      <c r="L9" s="5"/>
      <c r="M9" s="5"/>
      <c r="N9" s="5"/>
    </row>
    <row r="10" spans="5:14" ht="46.5" customHeight="1" thickTop="1" thickBot="1" x14ac:dyDescent="0.3">
      <c r="E10" s="1" t="s">
        <v>4</v>
      </c>
      <c r="F10" s="3"/>
      <c r="K10" s="4" t="b">
        <f>OR(ISTEXT(F10),ISBLANK(F10))</f>
        <v>1</v>
      </c>
      <c r="L10" s="5"/>
      <c r="M10" s="5"/>
      <c r="N10" s="5"/>
    </row>
    <row r="11" spans="5:14" ht="15.75" thickTop="1" x14ac:dyDescent="0.25"/>
  </sheetData>
  <sheetProtection selectLockedCells="1" selectUnlockedCells="1"/>
  <conditionalFormatting sqref="F6:F10">
    <cfRule type="expression" dxfId="1" priority="1">
      <formula>K6</formula>
    </cfRule>
  </conditionalFormatting>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5</xdr:col>
                    <xdr:colOff>104775</xdr:colOff>
                    <xdr:row>8</xdr:row>
                    <xdr:rowOff>123825</xdr:rowOff>
                  </from>
                  <to>
                    <xdr:col>5</xdr:col>
                    <xdr:colOff>1428750</xdr:colOff>
                    <xdr:row>8</xdr:row>
                    <xdr:rowOff>457200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5</xdr:col>
                    <xdr:colOff>1676400</xdr:colOff>
                    <xdr:row>8</xdr:row>
                    <xdr:rowOff>114300</xdr:rowOff>
                  </from>
                  <to>
                    <xdr:col>5</xdr:col>
                    <xdr:colOff>3000375</xdr:colOff>
                    <xdr:row>8</xdr:row>
                    <xdr:rowOff>447675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7C6E2-B60F-4ABD-9D32-FF7B5E7ADF4E}">
  <sheetPr codeName="Sheet3"/>
  <dimension ref="A3:F102"/>
  <sheetViews>
    <sheetView topLeftCell="A71" zoomScale="106" zoomScaleNormal="106" workbookViewId="0">
      <selection activeCell="E84" sqref="E84"/>
    </sheetView>
  </sheetViews>
  <sheetFormatPr defaultRowHeight="15" x14ac:dyDescent="0.25"/>
  <cols>
    <col min="1" max="1" width="18.42578125" bestFit="1" customWidth="1"/>
    <col min="2" max="2" width="16.42578125" bestFit="1" customWidth="1"/>
    <col min="3" max="3" width="6.140625" bestFit="1" customWidth="1"/>
    <col min="4" max="4" width="7.42578125" bestFit="1" customWidth="1"/>
    <col min="5" max="5" width="12.140625" bestFit="1" customWidth="1"/>
    <col min="6" max="6" width="15.28515625" bestFit="1" customWidth="1"/>
  </cols>
  <sheetData>
    <row r="3" spans="1:2" x14ac:dyDescent="0.25">
      <c r="A3" s="6" t="s">
        <v>12</v>
      </c>
      <c r="B3" s="6" t="s">
        <v>11</v>
      </c>
    </row>
    <row r="4" spans="1:2" x14ac:dyDescent="0.25">
      <c r="A4" s="6" t="s">
        <v>9</v>
      </c>
      <c r="B4" s="11">
        <v>44083</v>
      </c>
    </row>
    <row r="5" spans="1:2" x14ac:dyDescent="0.25">
      <c r="A5" s="9" t="s">
        <v>30</v>
      </c>
      <c r="B5" s="8">
        <v>6.6</v>
      </c>
    </row>
    <row r="6" spans="1:2" x14ac:dyDescent="0.25">
      <c r="A6" s="9" t="s">
        <v>14</v>
      </c>
      <c r="B6" s="8">
        <v>4.2</v>
      </c>
    </row>
    <row r="7" spans="1:2" x14ac:dyDescent="0.25">
      <c r="A7" s="9" t="s">
        <v>32</v>
      </c>
      <c r="B7" s="8">
        <v>6</v>
      </c>
    </row>
    <row r="13" spans="1:2" x14ac:dyDescent="0.25">
      <c r="A13" s="6" t="s">
        <v>13</v>
      </c>
      <c r="B13" s="6" t="s">
        <v>11</v>
      </c>
    </row>
    <row r="14" spans="1:2" x14ac:dyDescent="0.25">
      <c r="A14" s="6" t="s">
        <v>9</v>
      </c>
      <c r="B14" s="11">
        <v>44083</v>
      </c>
    </row>
    <row r="15" spans="1:2" x14ac:dyDescent="0.25">
      <c r="A15" s="9" t="s">
        <v>35</v>
      </c>
      <c r="B15" s="8">
        <v>6.1</v>
      </c>
    </row>
    <row r="16" spans="1:2" x14ac:dyDescent="0.25">
      <c r="A16" s="9" t="s">
        <v>33</v>
      </c>
      <c r="B16" s="8">
        <v>5.2</v>
      </c>
    </row>
    <row r="17" spans="1:2" x14ac:dyDescent="0.25">
      <c r="A17" s="9" t="s">
        <v>34</v>
      </c>
      <c r="B17" s="8">
        <v>8.1999999999999993</v>
      </c>
    </row>
    <row r="89" spans="1:6" x14ac:dyDescent="0.25">
      <c r="A89" t="s">
        <v>20</v>
      </c>
      <c r="B89" t="s">
        <v>4</v>
      </c>
      <c r="C89" t="s">
        <v>21</v>
      </c>
      <c r="D89" t="s">
        <v>22</v>
      </c>
      <c r="E89" t="s">
        <v>23</v>
      </c>
      <c r="F89" t="s">
        <v>24</v>
      </c>
    </row>
    <row r="90" spans="1:6" x14ac:dyDescent="0.25">
      <c r="A90" t="str">
        <f>A5</f>
        <v>Anmol talreja</v>
      </c>
      <c r="B90">
        <f>$B$5</f>
        <v>6.6</v>
      </c>
      <c r="C90" t="e">
        <f>IF(B90=MAX($B$90:$B$92),NA(),1)</f>
        <v>#N/A</v>
      </c>
      <c r="D90">
        <f>IF(B90=MAX($B$90:$B$92),1,NA())</f>
        <v>1</v>
      </c>
      <c r="E90" t="str">
        <f>IF(B90=MAX($B$90:$B$92)," ",B90)</f>
        <v xml:space="preserve"> </v>
      </c>
      <c r="F90">
        <f>IF(B90=MAX($B$90:$B$92),B90,"")</f>
        <v>6.6</v>
      </c>
    </row>
    <row r="91" spans="1:6" x14ac:dyDescent="0.25">
      <c r="A91" t="str">
        <f>$A$6</f>
        <v>Jyoti singh</v>
      </c>
      <c r="B91">
        <f>$B$6</f>
        <v>4.2</v>
      </c>
      <c r="C91">
        <f t="shared" ref="C91:C92" si="0">IF(B91=MAX($B$90:$B$92),NA(),1)</f>
        <v>1</v>
      </c>
      <c r="D91" t="e">
        <f t="shared" ref="D91:D92" si="1">IF(B91=MAX($B$90:$B$92),1,NA())</f>
        <v>#N/A</v>
      </c>
      <c r="E91">
        <f t="shared" ref="E91:E92" si="2">IF(B91=MAX($B$90:$B$92)," ",B91)</f>
        <v>4.2</v>
      </c>
      <c r="F91" t="str">
        <f t="shared" ref="F91:F92" si="3">IF(B91=MAX($B$90:$B$92),B91,"")</f>
        <v/>
      </c>
    </row>
    <row r="92" spans="1:6" x14ac:dyDescent="0.25">
      <c r="A92" t="str">
        <f>$A$7</f>
        <v>Shruti Narkar</v>
      </c>
      <c r="B92">
        <f>$B$7</f>
        <v>6</v>
      </c>
      <c r="C92">
        <f t="shared" si="0"/>
        <v>1</v>
      </c>
      <c r="D92" t="e">
        <f t="shared" si="1"/>
        <v>#N/A</v>
      </c>
      <c r="E92">
        <f t="shared" si="2"/>
        <v>6</v>
      </c>
      <c r="F92" t="str">
        <f t="shared" si="3"/>
        <v/>
      </c>
    </row>
    <row r="99" spans="1:6" x14ac:dyDescent="0.25">
      <c r="A99" t="s">
        <v>20</v>
      </c>
      <c r="B99" t="s">
        <v>25</v>
      </c>
      <c r="C99" t="s">
        <v>26</v>
      </c>
      <c r="D99" t="s">
        <v>27</v>
      </c>
      <c r="E99" t="s">
        <v>28</v>
      </c>
      <c r="F99" t="s">
        <v>29</v>
      </c>
    </row>
    <row r="100" spans="1:6" x14ac:dyDescent="0.25">
      <c r="A100" t="str">
        <f>$A$15</f>
        <v>Raunak gupta</v>
      </c>
      <c r="B100">
        <f>$B$15</f>
        <v>6.1</v>
      </c>
      <c r="C100">
        <f>IF(B100=MAX($B$100:$B$102),NA(),1)</f>
        <v>1</v>
      </c>
      <c r="D100" t="e">
        <f>IF(B100=MAX($B$100:$B$102),1,NA())</f>
        <v>#N/A</v>
      </c>
      <c r="E100">
        <f>IF(B100=MAX($B$100:$B$102)," ",B100)</f>
        <v>6.1</v>
      </c>
      <c r="F100" t="str">
        <f>IF(B100=MAX($B$100:$B$102),B100,"")</f>
        <v/>
      </c>
    </row>
    <row r="101" spans="1:6" x14ac:dyDescent="0.25">
      <c r="A101" t="str">
        <f>$A$16</f>
        <v>sanket shelatkar</v>
      </c>
      <c r="B101">
        <f>$B$16</f>
        <v>5.2</v>
      </c>
      <c r="C101">
        <f t="shared" ref="C101:C102" si="4">IF(B101=MAX($B$100:$B$102),NA(),1)</f>
        <v>1</v>
      </c>
      <c r="D101" t="e">
        <f t="shared" ref="D101:D102" si="5">IF(B101=MAX($B$100:$B$102),1,NA())</f>
        <v>#N/A</v>
      </c>
      <c r="E101">
        <f t="shared" ref="E101:E102" si="6">IF(B101=MAX($B$100:$B$102)," ",B101)</f>
        <v>5.2</v>
      </c>
      <c r="F101" t="str">
        <f t="shared" ref="F101:F102" si="7">IF(B101=MAX($B$100:$B$102),B101,"")</f>
        <v/>
      </c>
    </row>
    <row r="102" spans="1:6" x14ac:dyDescent="0.25">
      <c r="A102" t="str">
        <f>$A$17</f>
        <v>leorious kallarakkal</v>
      </c>
      <c r="B102">
        <f>$B$17</f>
        <v>8.1999999999999993</v>
      </c>
      <c r="C102" t="e">
        <f t="shared" si="4"/>
        <v>#N/A</v>
      </c>
      <c r="D102">
        <f t="shared" si="5"/>
        <v>1</v>
      </c>
      <c r="E102" t="str">
        <f t="shared" si="6"/>
        <v xml:space="preserve"> </v>
      </c>
      <c r="F102">
        <f t="shared" si="7"/>
        <v>8.1999999999999993</v>
      </c>
    </row>
  </sheetData>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9870A9-C16D-423A-90FB-42ADBEC6CE6A}">
  <sheetPr codeName="Sheet5"/>
  <dimension ref="A3:P9"/>
  <sheetViews>
    <sheetView workbookViewId="0">
      <selection activeCell="I3" sqref="I3"/>
    </sheetView>
  </sheetViews>
  <sheetFormatPr defaultRowHeight="15" x14ac:dyDescent="0.25"/>
  <cols>
    <col min="1" max="1" width="13.140625" bestFit="1" customWidth="1"/>
    <col min="2" max="2" width="13.42578125" bestFit="1" customWidth="1"/>
    <col min="3" max="4" width="13.5703125" bestFit="1" customWidth="1"/>
    <col min="5" max="5" width="16.85546875" bestFit="1" customWidth="1"/>
    <col min="6" max="6" width="17.28515625" bestFit="1" customWidth="1"/>
    <col min="7" max="7" width="9.85546875" bestFit="1" customWidth="1"/>
    <col min="8" max="8" width="14.85546875" bestFit="1" customWidth="1"/>
    <col min="9" max="9" width="22.140625" bestFit="1" customWidth="1"/>
    <col min="10" max="10" width="13.5703125" bestFit="1" customWidth="1"/>
    <col min="11" max="11" width="9.85546875" bestFit="1" customWidth="1"/>
    <col min="14" max="14" width="13.140625" bestFit="1" customWidth="1"/>
  </cols>
  <sheetData>
    <row r="3" spans="1:16" x14ac:dyDescent="0.25">
      <c r="A3" s="6" t="s">
        <v>9</v>
      </c>
      <c r="B3" t="s">
        <v>16</v>
      </c>
      <c r="E3" s="6" t="s">
        <v>9</v>
      </c>
      <c r="F3" t="s">
        <v>12</v>
      </c>
      <c r="G3" t="s">
        <v>15</v>
      </c>
      <c r="I3" s="6" t="s">
        <v>9</v>
      </c>
      <c r="J3" t="s">
        <v>13</v>
      </c>
      <c r="K3" t="s">
        <v>15</v>
      </c>
    </row>
    <row r="4" spans="1:16" x14ac:dyDescent="0.25">
      <c r="A4" s="12">
        <v>44082</v>
      </c>
      <c r="B4" s="13">
        <v>6</v>
      </c>
      <c r="E4" s="12">
        <v>44082</v>
      </c>
      <c r="F4" s="8">
        <v>23</v>
      </c>
      <c r="G4" s="8">
        <v>24.5</v>
      </c>
      <c r="I4" s="12">
        <v>44082</v>
      </c>
      <c r="J4" s="8">
        <v>16</v>
      </c>
      <c r="K4" s="8">
        <v>17.5</v>
      </c>
      <c r="N4" t="s">
        <v>17</v>
      </c>
      <c r="O4" s="13">
        <f>GETPIVOTDATA("Sum of Coding Km",$E$3)/GETPIVOTDATA("Sum of EH",$E$3)</f>
        <v>0.93877551020408168</v>
      </c>
      <c r="P4">
        <v>0.4</v>
      </c>
    </row>
    <row r="5" spans="1:16" x14ac:dyDescent="0.25">
      <c r="A5" s="12" t="s">
        <v>10</v>
      </c>
      <c r="B5" s="13">
        <v>6</v>
      </c>
      <c r="E5" s="7" t="s">
        <v>30</v>
      </c>
      <c r="F5" s="8">
        <v>6</v>
      </c>
      <c r="G5" s="8">
        <v>7</v>
      </c>
      <c r="I5" s="7" t="s">
        <v>35</v>
      </c>
      <c r="J5" s="8">
        <v>8</v>
      </c>
      <c r="K5" s="8">
        <v>4.5</v>
      </c>
      <c r="N5" t="s">
        <v>18</v>
      </c>
      <c r="O5" s="13">
        <f>GETPIVOTDATA("Sum of QC Km",$I$3)/GETPIVOTDATA("Sum of EH",$I$3)</f>
        <v>0.91428571428571426</v>
      </c>
      <c r="P5">
        <v>0.8</v>
      </c>
    </row>
    <row r="6" spans="1:16" x14ac:dyDescent="0.25">
      <c r="E6" s="7" t="s">
        <v>14</v>
      </c>
      <c r="F6" s="8">
        <v>5</v>
      </c>
      <c r="G6" s="8">
        <v>6</v>
      </c>
      <c r="I6" s="7" t="s">
        <v>33</v>
      </c>
      <c r="J6" s="8">
        <v>2</v>
      </c>
      <c r="K6" s="8">
        <v>6</v>
      </c>
    </row>
    <row r="7" spans="1:16" x14ac:dyDescent="0.25">
      <c r="E7" s="7" t="s">
        <v>32</v>
      </c>
      <c r="F7" s="8">
        <v>8</v>
      </c>
      <c r="G7" s="8">
        <v>5</v>
      </c>
      <c r="I7" s="7" t="s">
        <v>34</v>
      </c>
      <c r="J7" s="8">
        <v>6</v>
      </c>
      <c r="K7" s="8">
        <v>7</v>
      </c>
    </row>
    <row r="8" spans="1:16" x14ac:dyDescent="0.25">
      <c r="E8" s="7" t="s">
        <v>31</v>
      </c>
      <c r="F8" s="8">
        <v>4</v>
      </c>
      <c r="G8" s="8">
        <v>6.5</v>
      </c>
      <c r="I8" s="12" t="s">
        <v>10</v>
      </c>
      <c r="J8" s="8">
        <v>16</v>
      </c>
      <c r="K8" s="8">
        <v>17.5</v>
      </c>
    </row>
    <row r="9" spans="1:16" x14ac:dyDescent="0.25">
      <c r="E9" s="12" t="s">
        <v>10</v>
      </c>
      <c r="F9" s="8">
        <v>23</v>
      </c>
      <c r="G9" s="8">
        <v>24.5</v>
      </c>
    </row>
  </sheetData>
  <pageMargins left="0.7" right="0.7" top="0.75" bottom="0.75" header="0.3" footer="0.3"/>
  <pageSetup orientation="portrait" horizontalDpi="200" verticalDpi="200"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69F8C-9C8F-491A-B53C-412E48738D10}">
  <sheetPr codeName="Sheet7"/>
  <dimension ref="A3:E6"/>
  <sheetViews>
    <sheetView workbookViewId="0">
      <selection activeCell="A3" sqref="A3"/>
    </sheetView>
  </sheetViews>
  <sheetFormatPr defaultRowHeight="15" x14ac:dyDescent="0.25"/>
  <cols>
    <col min="1" max="1" width="14" bestFit="1" customWidth="1"/>
    <col min="2" max="2" width="13.42578125" bestFit="1" customWidth="1"/>
    <col min="3" max="3" width="13.7109375" bestFit="1" customWidth="1"/>
    <col min="4" max="4" width="17.28515625" bestFit="1" customWidth="1"/>
    <col min="5" max="5" width="13.5703125" bestFit="1" customWidth="1"/>
  </cols>
  <sheetData>
    <row r="3" spans="1:5" x14ac:dyDescent="0.25">
      <c r="A3" s="6" t="s">
        <v>9</v>
      </c>
      <c r="B3" t="s">
        <v>16</v>
      </c>
      <c r="C3" t="s">
        <v>19</v>
      </c>
      <c r="D3" t="s">
        <v>12</v>
      </c>
      <c r="E3" t="s">
        <v>13</v>
      </c>
    </row>
    <row r="4" spans="1:5" x14ac:dyDescent="0.25">
      <c r="A4" s="12">
        <v>44083</v>
      </c>
      <c r="B4" s="8">
        <v>6.5</v>
      </c>
      <c r="C4" s="8">
        <v>7</v>
      </c>
      <c r="D4" s="8">
        <v>4.2</v>
      </c>
      <c r="E4" s="8"/>
    </row>
    <row r="5" spans="1:5" x14ac:dyDescent="0.25">
      <c r="A5" s="7" t="s">
        <v>14</v>
      </c>
      <c r="B5" s="8">
        <v>6.5</v>
      </c>
      <c r="C5" s="8">
        <v>7</v>
      </c>
      <c r="D5" s="8">
        <v>4.2</v>
      </c>
      <c r="E5" s="8"/>
    </row>
    <row r="6" spans="1:5" x14ac:dyDescent="0.25">
      <c r="A6" s="12" t="s">
        <v>10</v>
      </c>
      <c r="B6" s="8">
        <v>6.5</v>
      </c>
      <c r="C6" s="8">
        <v>7</v>
      </c>
      <c r="D6" s="8">
        <v>4.2</v>
      </c>
      <c r="E6" s="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45C18-CE5F-42B0-A415-2914474F96E6}">
  <sheetPr codeName="Sheet2"/>
  <dimension ref="B1:R16"/>
  <sheetViews>
    <sheetView topLeftCell="A3" workbookViewId="0">
      <selection activeCell="G23" sqref="G23"/>
    </sheetView>
  </sheetViews>
  <sheetFormatPr defaultRowHeight="15" x14ac:dyDescent="0.25"/>
  <cols>
    <col min="2" max="2" width="10.85546875" style="11" customWidth="1"/>
    <col min="3" max="3" width="18.85546875" customWidth="1"/>
    <col min="4" max="4" width="12.5703125" customWidth="1"/>
    <col min="5" max="6" width="13.5703125" customWidth="1"/>
    <col min="15" max="15" width="9.7109375" bestFit="1" customWidth="1"/>
  </cols>
  <sheetData>
    <row r="1" spans="2:18" x14ac:dyDescent="0.25">
      <c r="H1">
        <f>COUNTA(C:C)-1</f>
        <v>14</v>
      </c>
    </row>
    <row r="2" spans="2:18" x14ac:dyDescent="0.25">
      <c r="B2" s="11" t="s">
        <v>1</v>
      </c>
      <c r="C2" t="s">
        <v>0</v>
      </c>
      <c r="D2" t="s">
        <v>2</v>
      </c>
      <c r="E2" t="s">
        <v>3</v>
      </c>
      <c r="F2" t="s">
        <v>7</v>
      </c>
      <c r="G2" t="s">
        <v>8</v>
      </c>
    </row>
    <row r="3" spans="2:18" x14ac:dyDescent="0.25">
      <c r="B3" s="11">
        <v>44082</v>
      </c>
      <c r="C3" t="s">
        <v>14</v>
      </c>
      <c r="D3">
        <v>6</v>
      </c>
      <c r="E3">
        <v>7</v>
      </c>
      <c r="F3">
        <v>5</v>
      </c>
    </row>
    <row r="4" spans="2:18" x14ac:dyDescent="0.25">
      <c r="B4" s="11">
        <v>44082</v>
      </c>
      <c r="C4" t="s">
        <v>30</v>
      </c>
      <c r="D4">
        <v>7</v>
      </c>
      <c r="E4">
        <v>7</v>
      </c>
      <c r="F4">
        <v>6</v>
      </c>
    </row>
    <row r="5" spans="2:18" x14ac:dyDescent="0.25">
      <c r="B5" s="11">
        <v>44082</v>
      </c>
      <c r="C5" t="s">
        <v>31</v>
      </c>
      <c r="D5">
        <v>6.5</v>
      </c>
      <c r="E5">
        <v>8</v>
      </c>
      <c r="F5">
        <v>4</v>
      </c>
    </row>
    <row r="6" spans="2:18" x14ac:dyDescent="0.25">
      <c r="B6" s="11">
        <v>44082</v>
      </c>
      <c r="C6" t="s">
        <v>32</v>
      </c>
      <c r="D6">
        <v>5</v>
      </c>
      <c r="E6">
        <v>8</v>
      </c>
      <c r="F6">
        <v>8</v>
      </c>
    </row>
    <row r="7" spans="2:18" x14ac:dyDescent="0.25">
      <c r="B7" s="11">
        <v>44082</v>
      </c>
      <c r="C7" t="s">
        <v>33</v>
      </c>
      <c r="D7">
        <v>6</v>
      </c>
      <c r="E7">
        <v>6</v>
      </c>
      <c r="G7">
        <v>2</v>
      </c>
      <c r="O7" s="2"/>
    </row>
    <row r="8" spans="2:18" x14ac:dyDescent="0.25">
      <c r="B8" s="11">
        <v>44082</v>
      </c>
      <c r="C8" t="s">
        <v>34</v>
      </c>
      <c r="D8">
        <v>7</v>
      </c>
      <c r="E8">
        <v>5</v>
      </c>
      <c r="G8">
        <v>6</v>
      </c>
    </row>
    <row r="9" spans="2:18" x14ac:dyDescent="0.25">
      <c r="B9" s="11">
        <v>44082</v>
      </c>
      <c r="C9" t="s">
        <v>35</v>
      </c>
      <c r="D9">
        <v>4.5</v>
      </c>
      <c r="G9">
        <v>8</v>
      </c>
    </row>
    <row r="10" spans="2:18" x14ac:dyDescent="0.25">
      <c r="B10" s="11">
        <v>44083</v>
      </c>
      <c r="C10" t="s">
        <v>14</v>
      </c>
      <c r="D10">
        <v>6.5</v>
      </c>
      <c r="E10">
        <v>7</v>
      </c>
      <c r="F10">
        <v>4.2</v>
      </c>
    </row>
    <row r="11" spans="2:18" x14ac:dyDescent="0.25">
      <c r="B11" s="11">
        <v>44083</v>
      </c>
      <c r="C11" t="s">
        <v>30</v>
      </c>
      <c r="D11">
        <v>6</v>
      </c>
      <c r="E11">
        <v>7</v>
      </c>
      <c r="F11">
        <v>6.6</v>
      </c>
      <c r="R11" s="2"/>
    </row>
    <row r="12" spans="2:18" x14ac:dyDescent="0.25">
      <c r="B12" s="11">
        <v>44083</v>
      </c>
      <c r="C12" t="s">
        <v>31</v>
      </c>
      <c r="D12">
        <v>5</v>
      </c>
      <c r="E12">
        <v>6</v>
      </c>
      <c r="F12">
        <v>2</v>
      </c>
    </row>
    <row r="13" spans="2:18" x14ac:dyDescent="0.25">
      <c r="B13" s="11">
        <v>44083</v>
      </c>
      <c r="C13" t="s">
        <v>32</v>
      </c>
      <c r="D13">
        <v>7</v>
      </c>
      <c r="E13">
        <v>6</v>
      </c>
      <c r="F13">
        <v>6</v>
      </c>
    </row>
    <row r="14" spans="2:18" x14ac:dyDescent="0.25">
      <c r="B14" s="11">
        <v>44083</v>
      </c>
      <c r="C14" t="s">
        <v>33</v>
      </c>
      <c r="D14">
        <v>3</v>
      </c>
      <c r="E14">
        <v>6</v>
      </c>
      <c r="G14">
        <v>5.2</v>
      </c>
    </row>
    <row r="15" spans="2:18" x14ac:dyDescent="0.25">
      <c r="B15" s="11">
        <v>44083</v>
      </c>
      <c r="C15" t="s">
        <v>34</v>
      </c>
      <c r="D15">
        <v>7</v>
      </c>
      <c r="E15">
        <v>8</v>
      </c>
      <c r="G15">
        <v>8.1999999999999993</v>
      </c>
    </row>
    <row r="16" spans="2:18" x14ac:dyDescent="0.25">
      <c r="B16" s="11">
        <v>44083</v>
      </c>
      <c r="C16" t="s">
        <v>35</v>
      </c>
      <c r="D16">
        <v>5</v>
      </c>
      <c r="E16">
        <v>7</v>
      </c>
      <c r="G16">
        <v>6.1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2128AA75330834C8FD680FD3B867B19" ma:contentTypeVersion="8" ma:contentTypeDescription="Create a new document." ma:contentTypeScope="" ma:versionID="35f459adca166d8ee2fd9c7468310708">
  <xsd:schema xmlns:xsd="http://www.w3.org/2001/XMLSchema" xmlns:xs="http://www.w3.org/2001/XMLSchema" xmlns:p="http://schemas.microsoft.com/office/2006/metadata/properties" xmlns:ns3="32899183-6657-4a00-884c-4c8214418689" xmlns:ns4="417ae95e-08fe-480c-9619-70b19c328abc" targetNamespace="http://schemas.microsoft.com/office/2006/metadata/properties" ma:root="true" ma:fieldsID="5842de00b354ca6933add1db4e7fb0e3" ns3:_="" ns4:_="">
    <xsd:import namespace="32899183-6657-4a00-884c-4c8214418689"/>
    <xsd:import namespace="417ae95e-08fe-480c-9619-70b19c328abc"/>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2899183-6657-4a00-884c-4c821441868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17ae95e-08fe-480c-9619-70b19c328ab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4412748-6DB1-4394-BAD4-D78E129F2FAF}">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32899183-6657-4a00-884c-4c8214418689"/>
    <ds:schemaRef ds:uri="417ae95e-08fe-480c-9619-70b19c328abc"/>
    <ds:schemaRef ds:uri="http://www.w3.org/XML/1998/namespace"/>
    <ds:schemaRef ds:uri="http://purl.org/dc/dcmitype/"/>
  </ds:schemaRefs>
</ds:datastoreItem>
</file>

<file path=customXml/itemProps2.xml><?xml version="1.0" encoding="utf-8"?>
<ds:datastoreItem xmlns:ds="http://schemas.openxmlformats.org/officeDocument/2006/customXml" ds:itemID="{50B0ED02-51A1-4552-A042-AC8ECA2376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2899183-6657-4a00-884c-4c8214418689"/>
    <ds:schemaRef ds:uri="417ae95e-08fe-480c-9619-70b19c328ab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67B0E97-E00F-4B4C-BF87-FA091AAE577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userInputForm</vt:lpstr>
      <vt:lpstr>top performer(coding)</vt:lpstr>
      <vt:lpstr>overall EH</vt:lpstr>
      <vt:lpstr>Individual EH</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Shelatkar, Sanket</dc:creator>
  <cp:lastModifiedBy>Shelatkar, Sanket</cp:lastModifiedBy>
  <dcterms:created xsi:type="dcterms:W3CDTF">2020-09-08T08:31:50Z</dcterms:created>
  <dcterms:modified xsi:type="dcterms:W3CDTF">2022-03-03T09:51:18Z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0x01010002128AA75330834C8FD680FD3B867B19</vt:lpwstr>
  </property>
</Properties>
</file>