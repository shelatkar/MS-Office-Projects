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3.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workbookPr codeName="ThisWorkbook" defaultThemeVersion="166925"/>
  <mc:AlternateContent xmlns:mc="http://schemas.openxmlformats.org/markup-compatibility/2006">
    <mc:Choice Requires="x15">
      <x15ac:absPath xmlns:x15ac="http://schemas.microsoft.com/office/spreadsheetml/2010/11/ac" url="https://hmcs-my.sharepoint.com/personal/sanket_shelatkar_here_com/Documents/Desktop/Dashboard/"/>
    </mc:Choice>
  </mc:AlternateContent>
  <xr:revisionPtr revIDLastSave="7" documentId="8_{6E24E821-DA73-496F-BF69-85B860AFB26F}" xr6:coauthVersionLast="47" xr6:coauthVersionMax="47" xr10:uidLastSave="{5127A12A-8609-4AC4-BC93-59CEFC4E229A}"/>
  <bookViews>
    <workbookView xWindow="-28920" yWindow="-1560" windowWidth="29040" windowHeight="15840" xr2:uid="{F0519C2A-E432-4B52-8FE8-68BCC1C65988}"/>
  </bookViews>
  <sheets>
    <sheet name="Dashboard" sheetId="17" r:id="rId1"/>
    <sheet name="InputDataset" sheetId="3" r:id="rId2"/>
    <sheet name="Sheet12" sheetId="53" state="hidden" r:id="rId3"/>
    <sheet name="Sheet6" sheetId="47" state="hidden" r:id="rId4"/>
    <sheet name="Rough" sheetId="41" state="hidden" r:id="rId5"/>
    <sheet name="ques_feedback" sheetId="19" r:id="rId6"/>
    <sheet name="concated_ques2" sheetId="32" state="hidden" r:id="rId7"/>
    <sheet name="concated_ques" sheetId="20" state="hidden" r:id="rId8"/>
    <sheet name="Pivot(disagree,strongly)" sheetId="37" state="hidden" r:id="rId9"/>
    <sheet name="Pivot(connect)" sheetId="36" state="hidden" r:id="rId10"/>
    <sheet name="Pivot(ratings)" sheetId="40" state="hidden" r:id="rId11"/>
    <sheet name="Sheet20" sheetId="39" state="hidden" r:id="rId12"/>
  </sheets>
  <externalReferences>
    <externalReference r:id="rId13"/>
  </externalReferences>
  <definedNames>
    <definedName name="_xlnm._FilterDatabase" localSheetId="7" hidden="1">concated_ques!$B$2:$G$53</definedName>
    <definedName name="_xlnm._FilterDatabase" localSheetId="6" hidden="1">concated_ques2!$B$1:$J$96</definedName>
    <definedName name="_xlnm._FilterDatabase" localSheetId="1" hidden="1">InputDataset!$A$1:$I$52</definedName>
    <definedName name="_xlcn.WorksheetConnection_option.xlsxTable4" hidden="1">Table4[]</definedName>
    <definedName name="agree">OFFSET(#REF!,,,COUNT(#REF!),1)</definedName>
    <definedName name="Questions">OFFSET(#REF!,,,COUNT(#REF!),1)</definedName>
    <definedName name="Slicer_Audience_Name">#N/A</definedName>
    <definedName name="Slicer_Current_Engagement_Frequency">#N/A</definedName>
    <definedName name="Slicer_Strongly_Disagree_Disagree">#N/A</definedName>
  </definedNames>
  <calcPr calcId="191029"/>
  <pivotCaches>
    <pivotCache cacheId="11" r:id="rId14"/>
    <pivotCache cacheId="12" r:id="rId15"/>
    <pivotCache cacheId="13" r:id="rId16"/>
    <pivotCache cacheId="14" r:id="rId17"/>
    <pivotCache cacheId="15" r:id="rId18"/>
    <pivotCache cacheId="16" r:id="rId19"/>
    <pivotCache cacheId="21" r:id="rId20"/>
  </pivotCaches>
  <extLst>
    <ext xmlns:x14="http://schemas.microsoft.com/office/spreadsheetml/2009/9/main" uri="{BBE1A952-AA13-448e-AADC-164F8A28A991}">
      <x14:slicerCaches>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4" name="Table4" connection="WorksheetConnection_option.xlsx!Table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K9" i="3" l="1"/>
  <c r="AK8" i="3"/>
  <c r="AK7" i="3"/>
  <c r="AK6" i="3"/>
  <c r="AK5" i="3"/>
  <c r="AJ9" i="3"/>
  <c r="AJ8" i="3"/>
  <c r="AJ7" i="3"/>
  <c r="AJ6" i="3"/>
  <c r="AI9" i="3"/>
  <c r="AI8" i="3"/>
  <c r="AI7" i="3"/>
  <c r="AI6" i="3"/>
  <c r="AI5" i="3"/>
  <c r="AH9" i="3"/>
  <c r="AH8" i="3"/>
  <c r="AH6" i="3"/>
  <c r="AH7" i="3"/>
  <c r="E209" i="47" l="1"/>
  <c r="E210" i="47"/>
  <c r="E211" i="47"/>
  <c r="E212" i="47"/>
  <c r="E213" i="47"/>
  <c r="E214" i="47"/>
  <c r="E215" i="47"/>
  <c r="E216" i="47"/>
  <c r="E217" i="47"/>
  <c r="E218" i="47"/>
  <c r="E219" i="47"/>
  <c r="E220" i="47"/>
  <c r="E221" i="47"/>
  <c r="E222" i="47"/>
  <c r="E223" i="47"/>
  <c r="E224" i="47"/>
  <c r="E225" i="47"/>
  <c r="E226" i="47"/>
  <c r="E227" i="47"/>
  <c r="E228" i="47"/>
  <c r="E229" i="47"/>
  <c r="E230" i="47"/>
  <c r="E231" i="47"/>
  <c r="E232" i="47"/>
  <c r="E233" i="47"/>
  <c r="E234" i="47"/>
  <c r="E235" i="47"/>
  <c r="E236" i="47"/>
  <c r="E237" i="47"/>
  <c r="E238" i="47"/>
  <c r="E239" i="47"/>
  <c r="E240" i="47"/>
  <c r="E241" i="47"/>
  <c r="E242" i="47"/>
  <c r="E243" i="47"/>
  <c r="E244" i="47"/>
  <c r="E245" i="47"/>
  <c r="E246" i="47"/>
  <c r="E247" i="47"/>
  <c r="E248" i="47"/>
  <c r="E249" i="47"/>
  <c r="E250" i="47"/>
  <c r="E251" i="47"/>
  <c r="E252" i="47"/>
  <c r="E253" i="47"/>
  <c r="E254" i="47"/>
  <c r="E255" i="47"/>
  <c r="E256" i="47"/>
  <c r="E257" i="47"/>
  <c r="E258" i="47"/>
  <c r="E208" i="47"/>
  <c r="E107" i="47"/>
  <c r="E108" i="47"/>
  <c r="E109" i="47"/>
  <c r="E110" i="47"/>
  <c r="E111" i="47"/>
  <c r="E112" i="47"/>
  <c r="E113" i="47"/>
  <c r="E114" i="47"/>
  <c r="E115" i="47"/>
  <c r="E116" i="47"/>
  <c r="E117" i="47"/>
  <c r="E118" i="47"/>
  <c r="E119" i="47"/>
  <c r="E120" i="47"/>
  <c r="E121" i="47"/>
  <c r="E122" i="47"/>
  <c r="E123" i="47"/>
  <c r="E124" i="47"/>
  <c r="E125" i="47"/>
  <c r="E126" i="47"/>
  <c r="E127" i="47"/>
  <c r="E128" i="47"/>
  <c r="E129" i="47"/>
  <c r="E130" i="47"/>
  <c r="E131" i="47"/>
  <c r="E132" i="47"/>
  <c r="E133" i="47"/>
  <c r="E134" i="47"/>
  <c r="E135" i="47"/>
  <c r="E136" i="47"/>
  <c r="E137" i="47"/>
  <c r="E138" i="47"/>
  <c r="E139" i="47"/>
  <c r="E140" i="47"/>
  <c r="E141" i="47"/>
  <c r="E142" i="47"/>
  <c r="E143" i="47"/>
  <c r="E144" i="47"/>
  <c r="E145" i="47"/>
  <c r="E146" i="47"/>
  <c r="E147" i="47"/>
  <c r="E148" i="47"/>
  <c r="E149" i="47"/>
  <c r="E150" i="47"/>
  <c r="E151" i="47"/>
  <c r="E152" i="47"/>
  <c r="E153" i="47"/>
  <c r="E154" i="47"/>
  <c r="E155" i="47"/>
  <c r="E156" i="47"/>
  <c r="E106" i="47"/>
  <c r="E158" i="47"/>
  <c r="E159" i="47"/>
  <c r="E160" i="47"/>
  <c r="E161" i="47"/>
  <c r="E162" i="47"/>
  <c r="E163" i="47"/>
  <c r="E164" i="47"/>
  <c r="E165" i="47"/>
  <c r="E166" i="47"/>
  <c r="E167" i="47"/>
  <c r="E168" i="47"/>
  <c r="E169" i="47"/>
  <c r="E170" i="47"/>
  <c r="E171" i="47"/>
  <c r="E172" i="47"/>
  <c r="E173" i="47"/>
  <c r="E174" i="47"/>
  <c r="E175" i="47"/>
  <c r="E176" i="47"/>
  <c r="E177" i="47"/>
  <c r="E178" i="47"/>
  <c r="E179" i="47"/>
  <c r="E180" i="47"/>
  <c r="E181" i="47"/>
  <c r="E182" i="47"/>
  <c r="E183" i="47"/>
  <c r="E184" i="47"/>
  <c r="E185" i="47"/>
  <c r="E186" i="47"/>
  <c r="E187" i="47"/>
  <c r="E188" i="47"/>
  <c r="E189" i="47"/>
  <c r="E190" i="47"/>
  <c r="E191" i="47"/>
  <c r="E192" i="47"/>
  <c r="E193" i="47"/>
  <c r="E194" i="47"/>
  <c r="E195" i="47"/>
  <c r="E196" i="47"/>
  <c r="E197" i="47"/>
  <c r="E198" i="47"/>
  <c r="E199" i="47"/>
  <c r="E200" i="47"/>
  <c r="E201" i="47"/>
  <c r="E202" i="47"/>
  <c r="E203" i="47"/>
  <c r="E204" i="47"/>
  <c r="E205" i="47"/>
  <c r="E206" i="47"/>
  <c r="E207" i="47"/>
  <c r="E157" i="47"/>
  <c r="D55" i="47" l="1" a="1"/>
  <c r="BD181" i="17"/>
  <c r="D4" i="47" a="1"/>
  <c r="D4" i="47" l="1"/>
  <c r="E14" i="47"/>
  <c r="E26" i="47"/>
  <c r="E38" i="47"/>
  <c r="E50" i="47"/>
  <c r="E15" i="47"/>
  <c r="E27" i="47"/>
  <c r="E39" i="47"/>
  <c r="E51" i="47"/>
  <c r="E16" i="47"/>
  <c r="E28" i="47"/>
  <c r="E40" i="47"/>
  <c r="E52" i="47"/>
  <c r="E5" i="47"/>
  <c r="E17" i="47"/>
  <c r="E29" i="47"/>
  <c r="E41" i="47"/>
  <c r="E53" i="47"/>
  <c r="E6" i="47"/>
  <c r="E18" i="47"/>
  <c r="E30" i="47"/>
  <c r="E42" i="47"/>
  <c r="E7" i="47"/>
  <c r="E19" i="47"/>
  <c r="E31" i="47"/>
  <c r="E43" i="47"/>
  <c r="E54" i="47"/>
  <c r="E8" i="47"/>
  <c r="E20" i="47"/>
  <c r="E32" i="47"/>
  <c r="E44" i="47"/>
  <c r="E9" i="47"/>
  <c r="E21" i="47"/>
  <c r="E33" i="47"/>
  <c r="E45" i="47"/>
  <c r="E10" i="47"/>
  <c r="E22" i="47"/>
  <c r="E34" i="47"/>
  <c r="E46" i="47"/>
  <c r="E11" i="47"/>
  <c r="E23" i="47"/>
  <c r="E35" i="47"/>
  <c r="E47" i="47"/>
  <c r="E12" i="47"/>
  <c r="E24" i="47"/>
  <c r="E36" i="47"/>
  <c r="E48" i="47"/>
  <c r="E13" i="47"/>
  <c r="E25" i="47"/>
  <c r="E37" i="47"/>
  <c r="E49" i="47"/>
  <c r="D55" i="47"/>
  <c r="E55" i="47" s="1"/>
  <c r="E62" i="47"/>
  <c r="E74" i="47"/>
  <c r="E86" i="47"/>
  <c r="E98" i="47"/>
  <c r="E63" i="47"/>
  <c r="E75" i="47"/>
  <c r="E87" i="47"/>
  <c r="E99" i="47"/>
  <c r="E64" i="47"/>
  <c r="E76" i="47"/>
  <c r="E88" i="47"/>
  <c r="E100" i="47"/>
  <c r="E65" i="47"/>
  <c r="E77" i="47"/>
  <c r="E89" i="47"/>
  <c r="E101" i="47"/>
  <c r="E66" i="47"/>
  <c r="E78" i="47"/>
  <c r="E90" i="47"/>
  <c r="E102" i="47"/>
  <c r="E67" i="47"/>
  <c r="E79" i="47"/>
  <c r="E91" i="47"/>
  <c r="E103" i="47"/>
  <c r="E56" i="47"/>
  <c r="E68" i="47"/>
  <c r="E80" i="47"/>
  <c r="E92" i="47"/>
  <c r="E104" i="47"/>
  <c r="E57" i="47"/>
  <c r="E69" i="47"/>
  <c r="E81" i="47"/>
  <c r="E93" i="47"/>
  <c r="E105" i="47"/>
  <c r="E58" i="47"/>
  <c r="E70" i="47"/>
  <c r="E82" i="47"/>
  <c r="E94" i="47"/>
  <c r="E59" i="47"/>
  <c r="E71" i="47"/>
  <c r="E83" i="47"/>
  <c r="E95" i="47"/>
  <c r="E60" i="47"/>
  <c r="E72" i="47"/>
  <c r="E84" i="47"/>
  <c r="E96" i="47"/>
  <c r="E61" i="47"/>
  <c r="E73" i="47"/>
  <c r="E85" i="47"/>
  <c r="E97" i="47"/>
  <c r="O19" i="40"/>
  <c r="O18" i="40"/>
  <c r="O17" i="40"/>
  <c r="M17" i="40"/>
  <c r="M19" i="40"/>
  <c r="M18" i="40"/>
  <c r="BB86" i="17" l="1"/>
  <c r="E4" i="47"/>
  <c r="I23" i="40"/>
  <c r="N19" i="40"/>
  <c r="L19" i="40"/>
  <c r="K19" i="40"/>
  <c r="K18" i="40"/>
  <c r="J19" i="40"/>
  <c r="N18" i="40"/>
  <c r="L18" i="40"/>
  <c r="J18" i="40"/>
  <c r="N17" i="40"/>
  <c r="L17" i="40"/>
  <c r="K17" i="40"/>
  <c r="J17" i="40"/>
  <c r="N23" i="40" l="1"/>
  <c r="K23" i="40"/>
  <c r="J23" i="40"/>
  <c r="O23" i="40"/>
  <c r="M23" i="40"/>
  <c r="L23" i="40"/>
  <c r="O5" i="36"/>
  <c r="M9" i="36"/>
  <c r="M8" i="36"/>
  <c r="M7" i="36"/>
  <c r="M6" i="36"/>
  <c r="M5" i="36"/>
  <c r="L1" i="40"/>
  <c r="O2" i="40"/>
  <c r="O4" i="40"/>
  <c r="O3" i="40"/>
  <c r="N4" i="40"/>
  <c r="N3" i="40"/>
  <c r="N2" i="40"/>
  <c r="M11" i="40" l="1"/>
  <c r="N11" i="40" s="1"/>
  <c r="P5" i="36"/>
  <c r="Q5" i="36" s="1"/>
  <c r="L2" i="40"/>
  <c r="D4" i="40" l="1"/>
  <c r="D5" i="40"/>
  <c r="D6" i="40"/>
  <c r="D7" i="40"/>
  <c r="D8" i="40"/>
  <c r="D9" i="40"/>
  <c r="D10" i="40"/>
  <c r="D11" i="40"/>
  <c r="D12" i="40"/>
  <c r="D13" i="40"/>
  <c r="D14" i="40"/>
  <c r="D15" i="40"/>
  <c r="D16" i="40"/>
  <c r="D17" i="40" l="1"/>
  <c r="D18" i="40"/>
  <c r="D19" i="40"/>
  <c r="D20" i="40"/>
  <c r="D21" i="40"/>
  <c r="D22" i="40"/>
  <c r="D23" i="40"/>
  <c r="D24" i="40"/>
  <c r="D25" i="40"/>
  <c r="D26" i="40"/>
  <c r="D27" i="40"/>
  <c r="D28" i="40"/>
  <c r="D29" i="40"/>
  <c r="D30" i="40"/>
  <c r="D31" i="40"/>
  <c r="D32" i="40"/>
  <c r="D33" i="40"/>
  <c r="D34" i="40"/>
  <c r="D35" i="40"/>
  <c r="D36" i="40"/>
  <c r="D37" i="40"/>
  <c r="D38" i="40"/>
  <c r="D39" i="40"/>
  <c r="D40" i="40"/>
  <c r="D41" i="40"/>
  <c r="D42" i="40"/>
  <c r="D43" i="40"/>
  <c r="D44" i="40"/>
  <c r="D45" i="40"/>
  <c r="D46" i="40"/>
  <c r="D47" i="40"/>
  <c r="D48" i="40"/>
  <c r="D49" i="40"/>
  <c r="D50" i="40"/>
  <c r="D51" i="40"/>
  <c r="D52" i="40"/>
  <c r="D53" i="40"/>
  <c r="D54" i="40"/>
  <c r="D119" i="17" l="1"/>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I2" i="19" l="1"/>
  <c r="AJ5" i="3"/>
  <c r="AH5" i="3"/>
  <c r="AG9" i="3"/>
  <c r="AG8" i="3"/>
  <c r="AG7" i="3"/>
  <c r="AG6" i="3"/>
  <c r="AG5" i="3"/>
  <c r="I5" i="19" l="1"/>
  <c r="I3" i="19"/>
  <c r="I6" i="19"/>
  <c r="I4" i="19"/>
  <c r="I7"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573444-B73D-4B45-8345-C5E2A63315F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DE82975-A7D4-4788-944D-F378A3C6F05A}" name="WorksheetConnection_option.xlsx!Table4" type="102" refreshedVersion="6" minRefreshableVersion="5">
    <extLst>
      <ext xmlns:x15="http://schemas.microsoft.com/office/spreadsheetml/2010/11/main" uri="{DE250136-89BD-433C-8126-D09CA5730AF9}">
        <x15:connection id="Table4">
          <x15:rangePr sourceName="_xlcn.WorksheetConnection_option.xlsxTable4"/>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<sst xmlns="http://schemas.openxmlformats.org/spreadsheetml/2006/main" count="1647" uniqueCount="223">
  <si>
    <t>brandon.ludwig@here.com</t>
  </si>
  <si>
    <t>Brandon Ludwig</t>
  </si>
  <si>
    <t>Sujit Patil</t>
  </si>
  <si>
    <t>MFA</t>
  </si>
  <si>
    <t>ALC</t>
  </si>
  <si>
    <t>katherine.aanensen@here.com</t>
  </si>
  <si>
    <t>Katherine Aanensen</t>
  </si>
  <si>
    <t>adhithya.rajan@here.com</t>
  </si>
  <si>
    <t>Adhithya Rajan</t>
  </si>
  <si>
    <t>nisha.saini@here.com</t>
  </si>
  <si>
    <t>Nisha Saini</t>
  </si>
  <si>
    <t>Dhanesh Mehta</t>
  </si>
  <si>
    <t>max.berggren@here.com</t>
  </si>
  <si>
    <t>Max Berggren</t>
  </si>
  <si>
    <t>HDLM Lanes</t>
  </si>
  <si>
    <t>anuradha.shenoy@here.com</t>
  </si>
  <si>
    <t>Anuradha Shenoy</t>
  </si>
  <si>
    <t>don.peterson@here.com</t>
  </si>
  <si>
    <t>Don Peterson</t>
  </si>
  <si>
    <t>juilo.arrioja@here.com</t>
  </si>
  <si>
    <t>Juilo Arrioja</t>
  </si>
  <si>
    <t>krzysztof.makiel@here.com</t>
  </si>
  <si>
    <t>Krzysztof Makiel</t>
  </si>
  <si>
    <t>james.panek@here.com</t>
  </si>
  <si>
    <t>James Panek</t>
  </si>
  <si>
    <t>nisha.sharma@here.com</t>
  </si>
  <si>
    <t>Nisha Sharma</t>
  </si>
  <si>
    <t>vikas.wadhwa@here.com</t>
  </si>
  <si>
    <t>Vikas Wadhwa</t>
  </si>
  <si>
    <t>uyen.nguyen@here.com</t>
  </si>
  <si>
    <t>Uyen Nguyen</t>
  </si>
  <si>
    <t>guy.romano@here.com</t>
  </si>
  <si>
    <t>Guy Romano</t>
  </si>
  <si>
    <t>Localization</t>
  </si>
  <si>
    <t>ashutosh.gawade@here.com</t>
  </si>
  <si>
    <t>Ashutosh Gawade</t>
  </si>
  <si>
    <t>Here Lanes</t>
  </si>
  <si>
    <t>andrey.ulianov@here.com</t>
  </si>
  <si>
    <t>Andrey Ulianov</t>
  </si>
  <si>
    <t>nancy.womack@here.com</t>
  </si>
  <si>
    <t>Nancy Womack</t>
  </si>
  <si>
    <t>susan.petr@here.com</t>
  </si>
  <si>
    <t>Susan Petr</t>
  </si>
  <si>
    <t>rainu.pierce@here.com</t>
  </si>
  <si>
    <t>Rainu Pierce</t>
  </si>
  <si>
    <t>sjon.kuijpers@here.com</t>
  </si>
  <si>
    <t>Sjon Kuijpers</t>
  </si>
  <si>
    <t>michael.weiland@here.com</t>
  </si>
  <si>
    <t>Michael Weiland</t>
  </si>
  <si>
    <t>sneha.chaphalkar@here.com</t>
  </si>
  <si>
    <t>Sneha Chaphalkar</t>
  </si>
  <si>
    <t>eugene.feld@here.com</t>
  </si>
  <si>
    <t>Eugene Feld</t>
  </si>
  <si>
    <t>sagar.zaveri@here.com</t>
  </si>
  <si>
    <t>Sagar Zaveri</t>
  </si>
  <si>
    <t>hussain.khan@here.com</t>
  </si>
  <si>
    <t>Hussain Khan</t>
  </si>
  <si>
    <t>andrea.gagliardi@here.com</t>
  </si>
  <si>
    <t>Andrea Gagliardi</t>
  </si>
  <si>
    <t>ben.woodley@here.com</t>
  </si>
  <si>
    <t>Ben Woodley</t>
  </si>
  <si>
    <t>william.marks@here.com</t>
  </si>
  <si>
    <t>William Marks</t>
  </si>
  <si>
    <t>tony.rzany@here.com</t>
  </si>
  <si>
    <t>Tony Rzany</t>
  </si>
  <si>
    <t>alind.chonkar@here.com</t>
  </si>
  <si>
    <t>Alind Chonkar</t>
  </si>
  <si>
    <t>sheila.nedelcu@here.com</t>
  </si>
  <si>
    <t>Sheila Nedelcu</t>
  </si>
  <si>
    <t>raymond.omara@here.com</t>
  </si>
  <si>
    <t>Raymond O'Mara</t>
  </si>
  <si>
    <t>olivier.ricordel@here.com</t>
  </si>
  <si>
    <t>Olivier Ricordel</t>
  </si>
  <si>
    <t>phillip.bernard@here.com</t>
  </si>
  <si>
    <t>Phillip Bernard</t>
  </si>
  <si>
    <t>Localization &amp; HDLM Lanes</t>
  </si>
  <si>
    <t>jeremy.3.young@here.com</t>
  </si>
  <si>
    <t>Jeremy Young</t>
  </si>
  <si>
    <t>michael.deuerling@here.com</t>
  </si>
  <si>
    <t>Michael Deuerling</t>
  </si>
  <si>
    <t>kristin.thompson@here.com</t>
  </si>
  <si>
    <t>Kristin Thompson</t>
  </si>
  <si>
    <t>justin.link@here.com</t>
  </si>
  <si>
    <t>Justin Link</t>
  </si>
  <si>
    <t>oliver.monson@here.com</t>
  </si>
  <si>
    <t>Oliver Monson</t>
  </si>
  <si>
    <t>andrew.wilson@here.com</t>
  </si>
  <si>
    <t>Andrew Wilson</t>
  </si>
  <si>
    <t>matt.melvin@here.com</t>
  </si>
  <si>
    <t>Matt Melvin</t>
  </si>
  <si>
    <t>devendra.samant@here.com</t>
  </si>
  <si>
    <t>Devendra Samant</t>
  </si>
  <si>
    <t>riya.matai@here.com</t>
  </si>
  <si>
    <t>Riya Matai</t>
  </si>
  <si>
    <t>syed.akhtar@here.com</t>
  </si>
  <si>
    <t>Syed Fahim Akhtar</t>
  </si>
  <si>
    <t>nicholas.hatcher@here.com</t>
  </si>
  <si>
    <t>Nicholas Hatcher</t>
  </si>
  <si>
    <t>nitin.kare@here.com</t>
  </si>
  <si>
    <t>Nitin Kare</t>
  </si>
  <si>
    <t>Monthly</t>
  </si>
  <si>
    <t>Strongly Disagree</t>
  </si>
  <si>
    <t>johan.beerens@here.com</t>
  </si>
  <si>
    <t>Johan Beerens</t>
  </si>
  <si>
    <t>Fortnightly</t>
  </si>
  <si>
    <t>Disagree</t>
  </si>
  <si>
    <t>ravindar.dayachand@here.com</t>
  </si>
  <si>
    <t>Ravindar Dayachand</t>
  </si>
  <si>
    <t>Weekly</t>
  </si>
  <si>
    <t>Neither Agree or Disagree</t>
  </si>
  <si>
    <t>girish.vengaserry@here.com</t>
  </si>
  <si>
    <t>Girish Vengaserry</t>
  </si>
  <si>
    <t>Ad Hoc</t>
  </si>
  <si>
    <t>Agree</t>
  </si>
  <si>
    <t>alexander.dominique@here.com</t>
  </si>
  <si>
    <t>Alexander Dominique</t>
  </si>
  <si>
    <t>No Connect</t>
  </si>
  <si>
    <t>Strongly Agree</t>
  </si>
  <si>
    <t>michael.kennedy@here.com</t>
  </si>
  <si>
    <t>Michael Kennedy</t>
  </si>
  <si>
    <t>Current Engagement Frequency</t>
  </si>
  <si>
    <t>Overall Experience with GCO Team</t>
  </si>
  <si>
    <t>On time delivery</t>
  </si>
  <si>
    <t>Sharing project status updates</t>
  </si>
  <si>
    <t>Proactive in highlighting issues/risks</t>
  </si>
  <si>
    <t>Agiility</t>
  </si>
  <si>
    <t>High Quality Products</t>
  </si>
  <si>
    <t>Email</t>
  </si>
  <si>
    <t>Emp ID</t>
  </si>
  <si>
    <t>Audience Name</t>
  </si>
  <si>
    <t>Shared By</t>
  </si>
  <si>
    <t>Program</t>
  </si>
  <si>
    <t>Workgroup</t>
  </si>
  <si>
    <t>Row Labels</t>
  </si>
  <si>
    <t>(blank)</t>
  </si>
  <si>
    <t>Grand Total</t>
  </si>
  <si>
    <t>Column Labels</t>
  </si>
  <si>
    <t>Agility</t>
  </si>
  <si>
    <t>Count of Proactive in highlighting issues/risks</t>
  </si>
  <si>
    <t>Count of Agiility</t>
  </si>
  <si>
    <t>Count of High Quality Products</t>
  </si>
  <si>
    <t>Count of Sharing project status updates</t>
  </si>
  <si>
    <t>Count of On time delivery</t>
  </si>
  <si>
    <t>Counts</t>
  </si>
  <si>
    <t xml:space="preserve"> High Quality Products</t>
  </si>
  <si>
    <t xml:space="preserve"> Proactive in highlighting issues/risks</t>
  </si>
  <si>
    <t>Sharing project Status Update</t>
  </si>
  <si>
    <t xml:space="preserve"> On-time delivery</t>
  </si>
  <si>
    <t>ALC Alexander Dominique</t>
  </si>
  <si>
    <t>ALC Anuradha Shenoy</t>
  </si>
  <si>
    <t>ALC Don Peterson</t>
  </si>
  <si>
    <t>ALC Eugene Feld</t>
  </si>
  <si>
    <t>ALC Johan Beerens</t>
  </si>
  <si>
    <t>ALC Michael Kennedy</t>
  </si>
  <si>
    <t>ALC Nicholas Hatcher</t>
  </si>
  <si>
    <t>ALC Nisha Saini</t>
  </si>
  <si>
    <t>ALC Nisha Sharma</t>
  </si>
  <si>
    <t>ALC Nitin Kare</t>
  </si>
  <si>
    <t>ALC Oliver Monson</t>
  </si>
  <si>
    <t>ALC Rainu Pierce</t>
  </si>
  <si>
    <t>ALC Riya Matai</t>
  </si>
  <si>
    <t>ALC Sheila Nedelcu</t>
  </si>
  <si>
    <t>ALC Syed Fahim Akhtar</t>
  </si>
  <si>
    <t>ALC Tony Rzany</t>
  </si>
  <si>
    <t>ALC Vikas Wadhwa</t>
  </si>
  <si>
    <t>HDLM Lanes Andrew Wilson</t>
  </si>
  <si>
    <t>HDLM Lanes James Panek</t>
  </si>
  <si>
    <t>HDLM Lanes Jeremy Young</t>
  </si>
  <si>
    <t>HDLM Lanes Juilo Arrioja</t>
  </si>
  <si>
    <t>HDLM Lanes Justin Link</t>
  </si>
  <si>
    <t>HDLM Lanes Kristin Thompson</t>
  </si>
  <si>
    <t>HDLM Lanes Krzysztof Makiel</t>
  </si>
  <si>
    <t>HDLM Lanes Max Berggren</t>
  </si>
  <si>
    <t>HDLM Lanes Michael Deuerling</t>
  </si>
  <si>
    <t>HDLM Lanes Michael Weiland</t>
  </si>
  <si>
    <t>HDLM Lanes Olivier Ricordel</t>
  </si>
  <si>
    <t>HDLM Lanes Raymond O'Mara</t>
  </si>
  <si>
    <t>HDLM Lanes Sneha Chaphalkar</t>
  </si>
  <si>
    <t>Here Lanes Alind Chonkar</t>
  </si>
  <si>
    <t>Here Lanes Andrea Gagliardi</t>
  </si>
  <si>
    <t>Here Lanes Andrey Ulianov</t>
  </si>
  <si>
    <t>Here Lanes Ashutosh Gawade</t>
  </si>
  <si>
    <t>Here Lanes Ben Woodley</t>
  </si>
  <si>
    <t>Here Lanes Devendra Samant</t>
  </si>
  <si>
    <t>Here Lanes Hussain Khan</t>
  </si>
  <si>
    <t>Here Lanes Nancy Womack</t>
  </si>
  <si>
    <t>Here Lanes Sagar Zaveri</t>
  </si>
  <si>
    <t>Here Lanes Sjon Kuijpers</t>
  </si>
  <si>
    <t>Here Lanes Susan Petr</t>
  </si>
  <si>
    <t>Localization &amp; HDLM Lanes Matt Melvin</t>
  </si>
  <si>
    <t>Localization &amp; HDLM Lanes Phillip Bernard</t>
  </si>
  <si>
    <t>Localization Girish Vengaserry</t>
  </si>
  <si>
    <t>Localization Guy Romano</t>
  </si>
  <si>
    <t>Localization Ravindar Dayachand</t>
  </si>
  <si>
    <t>Localization William Marks</t>
  </si>
  <si>
    <t>MFA Adhithya Rajan</t>
  </si>
  <si>
    <t>MFA Brandon Ludwig</t>
  </si>
  <si>
    <t>MFA Katherine Aanensen</t>
  </si>
  <si>
    <t>MFA Uyen Nguyen</t>
  </si>
  <si>
    <t>Strongly Disagree/Disagree</t>
  </si>
  <si>
    <t>Count of Strongly Disagree/Disagree</t>
  </si>
  <si>
    <t>Audience Name2</t>
  </si>
  <si>
    <t>Count of Current Engagement Frequency</t>
  </si>
  <si>
    <t>Sum of Overall Experience with GCO Team</t>
  </si>
  <si>
    <t>Detractor</t>
  </si>
  <si>
    <t>Passive</t>
  </si>
  <si>
    <t>Promoter</t>
  </si>
  <si>
    <t xml:space="preserve"> </t>
  </si>
  <si>
    <t xml:space="preserve">NPS Rating </t>
  </si>
  <si>
    <t>Engagement</t>
  </si>
  <si>
    <t>Audience</t>
  </si>
  <si>
    <t>Parameters</t>
  </si>
  <si>
    <t>neha Chaphalkar</t>
  </si>
  <si>
    <t>ikas Wadhwa</t>
  </si>
  <si>
    <t xml:space="preserve"> Juilo Arrioja</t>
  </si>
  <si>
    <t>heila Nedelcu</t>
  </si>
  <si>
    <t>HDLM</t>
  </si>
  <si>
    <t>Strongly disagree/disagree</t>
  </si>
  <si>
    <t xml:space="preserve">Localization </t>
  </si>
  <si>
    <t>Localization &amp; HDLM</t>
  </si>
  <si>
    <t>Neither Agree or Disagre</t>
  </si>
  <si>
    <t>Count of Audience Name</t>
  </si>
  <si>
    <t xml:space="preserve"> Agility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</si>
</sst>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1"/>
      <color theme="2"/>
      <name val="Wingdings 3"/>
      <family val="1"/>
      <charset val="2"/>
    </font>
    <font>
      <sz val="18"/>
      <color theme="1"/>
      <name val="Wingdings"/>
      <charset val="2"/>
    </font>
    <font>
      <sz val="28"/>
      <color theme="1"/>
      <name val="Wingdings"/>
      <charset val="2"/>
    </font>
    <font>
      <sz val="14"/>
      <color theme="1"/>
      <name val="Calibri"/>
      <family val="2"/>
      <scheme val="minor"/>
    </font>
    <font>
      <b/>
      <sz val="16"/>
      <color theme="1"/>
      <name val="Calibri"/>
      <family val="2"/>
      <scheme val="minor"/>
    </font>
    <font>
      <sz val="20"/>
      <color theme="0"/>
      <name val="Aharoni"/>
      <charset val="177"/>
    </font>
    <font>
      <b/>
      <sz val="28"/>
      <color theme="9" tint="-0.499984740745262"/>
      <name val="Wingdings"/>
      <charset val="2"/>
    </font>
    <font>
      <b/>
      <sz val="18"/>
      <color theme="1"/>
      <name val="Aharoni"/>
      <charset val="177"/>
    </font>
    <font>
      <sz val="16"/>
      <color theme="1"/>
      <name val="Calibri"/>
      <family val="2"/>
      <scheme val="minor"/>
    </font>
    <font>
      <sz val="11"/>
      <color rgb="FFFF0000"/>
      <name val="Calibri"/>
      <family val="2"/>
      <scheme val="minor"/>
    </font>
    <font>
      <sz val="11"/>
      <color rgb="FF00B050"/>
      <name val="Calibri"/>
      <family val="2"/>
      <scheme val="minor"/>
    </font>
    <font>
      <sz val="11"/>
      <color rgb="FF0070C0"/>
      <name val="Calibri"/>
      <family val="2"/>
      <scheme val="minor"/>
    </font>
    <font>
      <sz val="11"/>
      <color rgb="FF7030A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4"/>
        <bgColor theme="4"/>
      </patternFill>
    </fill>
  </fills>
  <borders count="38">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dotted">
        <color indexed="64"/>
      </left>
      <right style="dotted">
        <color indexed="64"/>
      </right>
      <top style="dotted">
        <color indexed="64"/>
      </top>
      <bottom style="dotted">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theme="4" tint="0.39997558519241921"/>
      </top>
      <bottom style="thin">
        <color theme="4" tint="0.39997558519241921"/>
      </bottom>
      <diagonal/>
    </border>
    <border>
      <left/>
      <right style="medium">
        <color indexed="64"/>
      </right>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style="thin">
        <color theme="0"/>
      </left>
      <right style="thin">
        <color theme="0"/>
      </right>
      <top style="thin">
        <color theme="0"/>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left>
      <right/>
      <top style="thin">
        <color theme="0"/>
      </top>
      <bottom style="thin">
        <color theme="0"/>
      </bottom>
      <diagonal/>
    </border>
    <border>
      <left style="thin">
        <color theme="0"/>
      </left>
      <right/>
      <top style="thin">
        <color theme="0"/>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medium">
        <color indexed="64"/>
      </right>
      <top style="thin">
        <color theme="0"/>
      </top>
      <bottom style="thin">
        <color theme="0"/>
      </bottom>
      <diagonal/>
    </border>
    <border>
      <left style="thin">
        <color theme="0"/>
      </left>
      <right style="medium">
        <color indexed="64"/>
      </right>
      <top style="thin">
        <color theme="0"/>
      </top>
      <bottom style="medium">
        <color indexed="64"/>
      </bottom>
      <diagonal/>
    </border>
  </borders>
  <cellStyleXfs count="2">
    <xf numFmtId="0" fontId="0" fillId="0" borderId="0"/>
    <xf numFmtId="0" fontId="3" fillId="0" borderId="0" applyNumberFormat="0" applyFill="0" applyBorder="0" applyAlignment="0" applyProtection="0"/>
  </cellStyleXfs>
  <cellXfs count="96">
    <xf numFmtId="0" fontId="0" fillId="0" borderId="0" xfId="0"/>
    <xf numFmtId="0" fontId="0" fillId="0" borderId="0" xfId="0" applyAlignment="1">
      <alignment wrapText="1"/>
    </xf>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1" fillId="3" borderId="0" xfId="0" applyFont="1" applyFill="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2" fillId="0" borderId="0" xfId="0" applyFont="1"/>
    <xf numFmtId="0" fontId="0" fillId="4" borderId="5" xfId="0" applyFont="1" applyFill="1" applyBorder="1" applyAlignment="1">
      <alignment wrapText="1"/>
    </xf>
    <xf numFmtId="0" fontId="0" fillId="5" borderId="0" xfId="0" applyFill="1"/>
    <xf numFmtId="0" fontId="0" fillId="4" borderId="5" xfId="0" applyFont="1" applyFill="1" applyBorder="1"/>
    <xf numFmtId="0" fontId="0" fillId="0" borderId="5" xfId="0" applyFont="1" applyBorder="1"/>
    <xf numFmtId="0" fontId="0" fillId="2" borderId="4" xfId="0" applyFont="1" applyFill="1" applyBorder="1"/>
    <xf numFmtId="0" fontId="1" fillId="6" borderId="5" xfId="0" applyFont="1" applyFill="1" applyBorder="1" applyAlignment="1">
      <alignment wrapText="1"/>
    </xf>
    <xf numFmtId="0" fontId="0" fillId="0" borderId="5" xfId="0" applyFont="1" applyBorder="1" applyAlignment="1">
      <alignment wrapText="1"/>
    </xf>
    <xf numFmtId="0" fontId="0" fillId="4" borderId="0" xfId="0" applyFont="1" applyFill="1" applyBorder="1" applyAlignment="1">
      <alignment wrapText="1"/>
    </xf>
    <xf numFmtId="0" fontId="0" fillId="2" borderId="0" xfId="0" applyFill="1"/>
    <xf numFmtId="0" fontId="1" fillId="3" borderId="6" xfId="0" applyFont="1" applyFill="1" applyBorder="1" applyAlignment="1">
      <alignment horizontal="center" vertical="center"/>
    </xf>
    <xf numFmtId="0" fontId="1" fillId="6" borderId="6" xfId="0" applyFont="1" applyFill="1" applyBorder="1" applyAlignment="1">
      <alignment wrapText="1"/>
    </xf>
    <xf numFmtId="0" fontId="1" fillId="6" borderId="6" xfId="0" applyFont="1" applyFill="1" applyBorder="1" applyAlignment="1">
      <alignment vertical="center"/>
    </xf>
    <xf numFmtId="0" fontId="0" fillId="2" borderId="8" xfId="0" applyFill="1" applyBorder="1" applyAlignment="1">
      <alignment wrapText="1"/>
    </xf>
    <xf numFmtId="0" fontId="0" fillId="2" borderId="8" xfId="0" applyFill="1" applyBorder="1"/>
    <xf numFmtId="0" fontId="0" fillId="0" borderId="8" xfId="0" applyBorder="1"/>
    <xf numFmtId="0" fontId="0" fillId="0" borderId="0" xfId="0" applyBorder="1"/>
    <xf numFmtId="0" fontId="0" fillId="2" borderId="8" xfId="0" applyFont="1" applyFill="1" applyBorder="1"/>
    <xf numFmtId="0" fontId="0" fillId="4" borderId="8" xfId="0" applyFont="1" applyFill="1" applyBorder="1" applyAlignment="1">
      <alignment wrapText="1"/>
    </xf>
    <xf numFmtId="0" fontId="0" fillId="2" borderId="8" xfId="0" applyFont="1" applyFill="1" applyBorder="1" applyAlignment="1">
      <alignment wrapText="1"/>
    </xf>
    <xf numFmtId="0" fontId="1" fillId="3" borderId="9" xfId="0" applyFont="1" applyFill="1" applyBorder="1" applyAlignment="1">
      <alignment horizontal="center" vertical="center"/>
    </xf>
    <xf numFmtId="0" fontId="1" fillId="6" borderId="7" xfId="0" applyFont="1" applyFill="1" applyBorder="1" applyAlignment="1">
      <alignment wrapText="1"/>
    </xf>
    <xf numFmtId="0" fontId="0" fillId="0" borderId="10" xfId="0" applyBorder="1"/>
    <xf numFmtId="0" fontId="0" fillId="0" borderId="0" xfId="0" applyFill="1" applyBorder="1"/>
    <xf numFmtId="0" fontId="0" fillId="0" borderId="0" xfId="0" applyFill="1"/>
    <xf numFmtId="0" fontId="0" fillId="0" borderId="0" xfId="0" applyFont="1" applyFill="1"/>
    <xf numFmtId="0" fontId="0" fillId="0" borderId="0" xfId="0" applyFont="1" applyFill="1" applyAlignment="1"/>
    <xf numFmtId="0" fontId="4" fillId="0" borderId="0" xfId="0" applyFont="1" applyFill="1" applyBorder="1" applyAlignment="1"/>
    <xf numFmtId="0" fontId="0" fillId="0" borderId="0" xfId="0" applyNumberFormat="1" applyFont="1" applyFill="1"/>
    <xf numFmtId="0" fontId="6" fillId="0" borderId="0" xfId="0" applyFont="1" applyFill="1"/>
    <xf numFmtId="0" fontId="0" fillId="0" borderId="0" xfId="0" applyFont="1" applyFill="1" applyBorder="1"/>
    <xf numFmtId="0" fontId="10" fillId="0" borderId="0" xfId="0" applyFont="1"/>
    <xf numFmtId="0" fontId="11" fillId="0" borderId="0" xfId="0" applyFont="1"/>
    <xf numFmtId="9" fontId="0" fillId="0" borderId="0" xfId="0" applyNumberFormat="1"/>
    <xf numFmtId="9" fontId="0" fillId="0" borderId="10" xfId="0" applyNumberFormat="1" applyBorder="1"/>
    <xf numFmtId="0" fontId="0" fillId="0" borderId="0" xfId="0" applyNumberFormat="1" applyBorder="1"/>
    <xf numFmtId="0" fontId="5" fillId="0" borderId="0" xfId="0" applyFont="1" applyFill="1" applyBorder="1"/>
    <xf numFmtId="0" fontId="5" fillId="0" borderId="0" xfId="0" applyFont="1" applyBorder="1"/>
    <xf numFmtId="9" fontId="0" fillId="0" borderId="0" xfId="0" applyNumberFormat="1" applyBorder="1"/>
    <xf numFmtId="0" fontId="0" fillId="2" borderId="1" xfId="0" applyFont="1" applyFill="1" applyBorder="1"/>
    <xf numFmtId="0" fontId="1" fillId="6" borderId="14" xfId="0" applyFont="1" applyFill="1" applyBorder="1" applyAlignment="1">
      <alignment horizontal="center" vertical="center" wrapText="1"/>
    </xf>
    <xf numFmtId="0" fontId="1" fillId="6" borderId="15" xfId="0" applyFont="1" applyFill="1" applyBorder="1" applyAlignment="1">
      <alignment horizontal="center" vertical="center" wrapText="1"/>
    </xf>
    <xf numFmtId="0" fontId="1" fillId="6" borderId="16" xfId="0" applyFont="1" applyFill="1" applyBorder="1" applyAlignment="1">
      <alignment horizontal="center" vertical="center" wrapText="1"/>
    </xf>
    <xf numFmtId="0" fontId="0" fillId="4" borderId="17" xfId="0" applyFont="1" applyFill="1" applyBorder="1"/>
    <xf numFmtId="0" fontId="0" fillId="0" borderId="18" xfId="0" applyBorder="1"/>
    <xf numFmtId="0" fontId="0" fillId="4" borderId="19" xfId="0" applyFont="1" applyFill="1" applyBorder="1"/>
    <xf numFmtId="0" fontId="0" fillId="4" borderId="20" xfId="0" applyFont="1" applyFill="1" applyBorder="1"/>
    <xf numFmtId="0" fontId="0" fillId="2" borderId="21" xfId="0" applyFont="1" applyFill="1" applyBorder="1"/>
    <xf numFmtId="0" fontId="0" fillId="0" borderId="22" xfId="0" applyBorder="1"/>
    <xf numFmtId="0" fontId="0" fillId="0" borderId="23" xfId="0" applyBorder="1"/>
    <xf numFmtId="0" fontId="1" fillId="6" borderId="24" xfId="0" applyFont="1" applyFill="1" applyBorder="1" applyAlignment="1">
      <alignment horizontal="center" vertical="center" wrapText="1"/>
    </xf>
    <xf numFmtId="0" fontId="1" fillId="6" borderId="25" xfId="0" applyFont="1" applyFill="1" applyBorder="1" applyAlignment="1">
      <alignment horizontal="center" vertical="center" wrapText="1"/>
    </xf>
    <xf numFmtId="0" fontId="1" fillId="6" borderId="26" xfId="0" applyFont="1" applyFill="1" applyBorder="1" applyAlignment="1">
      <alignment horizontal="center" vertical="center" wrapText="1"/>
    </xf>
    <xf numFmtId="0" fontId="0" fillId="0" borderId="27" xfId="0" applyBorder="1"/>
    <xf numFmtId="0" fontId="0" fillId="0" borderId="28" xfId="0" applyBorder="1"/>
    <xf numFmtId="0" fontId="3" fillId="2" borderId="29" xfId="1" applyFont="1" applyFill="1" applyBorder="1"/>
    <xf numFmtId="0" fontId="3" fillId="2" borderId="30" xfId="1" applyFont="1" applyFill="1" applyBorder="1"/>
    <xf numFmtId="0" fontId="0" fillId="0" borderId="31" xfId="0" applyBorder="1"/>
    <xf numFmtId="0" fontId="0" fillId="0" borderId="32" xfId="0" applyBorder="1"/>
    <xf numFmtId="0" fontId="0" fillId="0" borderId="10" xfId="0" applyFill="1" applyBorder="1"/>
    <xf numFmtId="0" fontId="0" fillId="0" borderId="27" xfId="0" applyBorder="1" applyAlignment="1">
      <alignment wrapText="1"/>
    </xf>
    <xf numFmtId="0" fontId="0" fillId="0" borderId="28" xfId="0" applyBorder="1" applyAlignment="1">
      <alignment wrapText="1"/>
    </xf>
    <xf numFmtId="0" fontId="0" fillId="0" borderId="31" xfId="0" applyBorder="1" applyAlignment="1">
      <alignment wrapText="1"/>
    </xf>
    <xf numFmtId="0" fontId="0" fillId="0" borderId="0" xfId="0" applyBorder="1" applyAlignment="1">
      <alignment wrapText="1"/>
    </xf>
    <xf numFmtId="0" fontId="0" fillId="0" borderId="18" xfId="0" applyBorder="1" applyAlignment="1">
      <alignment wrapText="1"/>
    </xf>
    <xf numFmtId="0" fontId="0" fillId="0" borderId="22" xfId="0" applyBorder="1" applyAlignment="1">
      <alignment wrapText="1"/>
    </xf>
    <xf numFmtId="0" fontId="0" fillId="0" borderId="23" xfId="0" applyBorder="1" applyAlignment="1">
      <alignment wrapText="1"/>
    </xf>
    <xf numFmtId="0" fontId="1" fillId="3" borderId="33" xfId="0" applyFont="1" applyFill="1" applyBorder="1" applyAlignment="1">
      <alignment vertical="center"/>
    </xf>
    <xf numFmtId="0" fontId="1" fillId="3" borderId="34" xfId="0" applyFont="1" applyFill="1" applyBorder="1" applyAlignment="1">
      <alignment vertical="center"/>
    </xf>
    <xf numFmtId="0" fontId="1" fillId="3" borderId="35" xfId="0" applyFont="1" applyFill="1" applyBorder="1" applyAlignment="1">
      <alignment vertical="center"/>
    </xf>
    <xf numFmtId="0" fontId="3" fillId="2" borderId="36" xfId="1" applyFill="1" applyBorder="1"/>
    <xf numFmtId="0" fontId="3" fillId="0" borderId="18" xfId="1" applyBorder="1" applyAlignment="1">
      <alignment wrapText="1"/>
    </xf>
    <xf numFmtId="0" fontId="0" fillId="2" borderId="21" xfId="0" applyFill="1" applyBorder="1"/>
    <xf numFmtId="0" fontId="3" fillId="2" borderId="37" xfId="1" applyFill="1" applyBorder="1"/>
    <xf numFmtId="0" fontId="13" fillId="0" borderId="0" xfId="0" applyFont="1"/>
    <xf numFmtId="0" fontId="14" fillId="0" borderId="0" xfId="0" applyFont="1"/>
    <xf numFmtId="0" fontId="15" fillId="0" borderId="0" xfId="0" applyFont="1"/>
    <xf numFmtId="0" fontId="16" fillId="0" borderId="0" xfId="0" applyFont="1"/>
    <xf numFmtId="0" fontId="11" fillId="0" borderId="0" xfId="0" applyFont="1" applyFill="1" applyAlignment="1">
      <alignment horizontal="center"/>
    </xf>
    <xf numFmtId="0" fontId="0" fillId="0" borderId="0" xfId="0" applyFont="1" applyFill="1" applyBorder="1" applyAlignment="1">
      <alignment horizontal="center"/>
    </xf>
    <xf numFmtId="0" fontId="12" fillId="0" borderId="12" xfId="0" applyFont="1" applyFill="1" applyBorder="1" applyAlignment="1">
      <alignment horizontal="center"/>
    </xf>
    <xf numFmtId="0" fontId="12" fillId="0" borderId="13" xfId="0" applyFont="1" applyFill="1" applyBorder="1" applyAlignment="1">
      <alignment horizontal="center"/>
    </xf>
    <xf numFmtId="0" fontId="12" fillId="0" borderId="11" xfId="0" applyFont="1" applyFill="1" applyBorder="1" applyAlignment="1">
      <alignment horizontal="center"/>
    </xf>
    <xf numFmtId="0" fontId="9" fillId="0" borderId="0" xfId="0" applyFont="1" applyFill="1" applyBorder="1" applyAlignment="1">
      <alignment horizontal="center" vertical="center"/>
    </xf>
    <xf numFmtId="0" fontId="7" fillId="0" borderId="0" xfId="0" applyFont="1" applyFill="1" applyAlignment="1">
      <alignment horizontal="center"/>
    </xf>
    <xf numFmtId="0" fontId="8" fillId="0" borderId="0" xfId="0" applyFont="1" applyFill="1" applyAlignment="1">
      <alignment horizontal="center"/>
    </xf>
  </cellXfs>
  <cellStyles count="2">
    <cellStyle name="Hyperlink" xfId="1" builtinId="8"/>
    <cellStyle name="Normal" xfId="0" builtinId="0"/>
  </cellStyles>
  <dxfs count="34">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4" tint="0.79998168889431442"/>
        </patternFill>
      </fill>
      <border diagonalUp="0" diagonalDown="0">
        <left/>
        <right style="thin">
          <color theme="0"/>
        </right>
        <top style="thin">
          <color theme="0"/>
        </top>
        <bottom style="thin">
          <color theme="0"/>
        </bottom>
        <vertical/>
        <horizontal/>
      </border>
    </dxf>
    <dxf>
      <border outline="0">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center" textRotation="0" wrapText="0" indent="0" justifyLastLine="0" shrinkToFit="0" readingOrder="0"/>
    </dxf>
    <dxf>
      <alignment horizontal="general" vertical="bottom" textRotation="0" wrapText="1" indent="0" justifyLastLine="0" shrinkToFit="0" readingOrder="0"/>
      <border diagonalUp="0" diagonalDown="0">
        <left style="medium">
          <color indexed="64"/>
        </left>
        <right style="medium">
          <color indexed="64"/>
        </right>
        <vertical/>
      </border>
    </dxf>
    <dxf>
      <border diagonalUp="0" diagonalDown="0">
        <left style="medium">
          <color indexed="64"/>
        </left>
        <right style="medium">
          <color indexed="64"/>
        </right>
        <vertic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style="medium">
          <color indexed="64"/>
        </left>
      </border>
    </dxf>
    <dxf>
      <fill>
        <patternFill patternType="solid">
          <fgColor indexed="64"/>
          <bgColor theme="4" tint="0.79998168889431442"/>
        </patternFill>
      </fill>
      <border diagonalUp="0" diagonalDown="0">
        <left style="thin">
          <color theme="0"/>
        </left>
        <right style="thin">
          <color theme="0"/>
        </right>
        <top style="thin">
          <color theme="0"/>
        </top>
        <bottom style="thin">
          <color theme="0"/>
        </bottom>
        <vertical/>
        <horizontal/>
      </border>
    </dxf>
    <dxf>
      <fill>
        <patternFill patternType="solid">
          <fgColor indexed="64"/>
          <bgColor theme="4" tint="0.79998168889431442"/>
        </patternFill>
      </fill>
      <border diagonalUp="0" diagonalDown="0">
        <left style="thin">
          <color theme="0"/>
        </left>
        <right style="thin">
          <color theme="0"/>
        </right>
        <top style="thin">
          <color theme="0"/>
        </top>
        <bottom style="thin">
          <color theme="0"/>
        </bottom>
        <vertical/>
        <horizontal/>
      </border>
    </dxf>
    <dxf>
      <numFmt numFmtId="0" formatCode="General"/>
      <fill>
        <patternFill patternType="solid">
          <fgColor indexed="64"/>
          <bgColor theme="4" tint="0.79998168889431442"/>
        </patternFill>
      </fill>
      <border diagonalUp="0" diagonalDown="0">
        <left style="thin">
          <color theme="0"/>
        </left>
        <right style="thin">
          <color theme="0"/>
        </right>
        <top style="thin">
          <color theme="0"/>
        </top>
        <bottom style="thin">
          <color theme="0"/>
        </bottom>
        <vertical/>
        <horizontal/>
      </border>
    </dxf>
    <dxf>
      <fill>
        <patternFill patternType="solid">
          <fgColor indexed="64"/>
          <bgColor theme="4" tint="0.79998168889431442"/>
        </patternFill>
      </fill>
      <border diagonalUp="0" diagonalDown="0">
        <left style="thin">
          <color theme="0"/>
        </left>
        <right style="thin">
          <color theme="0"/>
        </right>
        <top style="thin">
          <color theme="0"/>
        </top>
        <bottom style="thin">
          <color theme="0"/>
        </bottom>
        <vertical/>
        <horizontal/>
      </border>
    </dxf>
    <dxf>
      <border diagonalUp="0" diagonalDown="0">
        <left style="medium">
          <color indexed="64"/>
        </left>
      </border>
    </dxf>
    <dxf>
      <alignment horizontal="general" vertical="bottom" textRotation="0" wrapText="1" indent="0" justifyLastLine="0" shrinkToFit="0" readingOrder="0"/>
    </dxf>
    <dxf>
      <alignment horizontal="general" vertical="center" textRotation="0" wrapText="0" indent="0" justifyLastLine="0" shrinkToFit="0" readingOrder="0"/>
    </dxf>
    <dxf>
      <font>
        <b/>
        <i val="0"/>
        <color rgb="FFFF0000"/>
      </font>
    </dxf>
    <dxf>
      <font>
        <b/>
        <i val="0"/>
        <color theme="9"/>
      </font>
    </dxf>
    <dxf>
      <font>
        <b/>
        <i val="0"/>
        <color rgb="FFFF0000"/>
      </font>
      <fill>
        <patternFill>
          <bgColor theme="0"/>
        </patternFill>
      </fill>
    </dxf>
    <dxf>
      <font>
        <b/>
        <i val="0"/>
        <color theme="9"/>
      </font>
    </dxf>
    <dxf>
      <fill>
        <patternFill>
          <bgColor rgb="FFFF0000"/>
        </patternFill>
      </fill>
    </dxf>
    <dxf>
      <fill>
        <patternFill>
          <bgColor rgb="FFFF0000"/>
        </patternFill>
      </fill>
    </dxf>
    <dxf>
      <fill>
        <patternFill>
          <bgColor theme="5"/>
        </patternFill>
      </fill>
    </dxf>
    <dxf>
      <fill>
        <patternFill>
          <bgColor theme="9"/>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SlicerStyleOther1 2" pivot="0" table="0" count="10" xr9:uid="{545AC531-3C0F-433A-9150-80182119DE1B}">
      <tableStyleElement type="wholeTable" dxfId="33"/>
      <tableStyleElement type="headerRow" dxfId="32"/>
    </tableStyle>
  </tableStyles>
  <colors>
    <mruColors>
      <color rgb="FF66FFFF"/>
      <color rgb="FFFF9933"/>
      <color rgb="FF3399FF"/>
      <color rgb="FF80808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24994659260841701"/>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xml"/><Relationship Id="rId18" Type="http://schemas.openxmlformats.org/officeDocument/2006/relationships/pivotCacheDefinition" Target="pivotCache/pivotCacheDefinition5.xml"/><Relationship Id="rId26" Type="http://schemas.openxmlformats.org/officeDocument/2006/relationships/styles" Target="styles.xml"/><Relationship Id="rId39" Type="http://schemas.openxmlformats.org/officeDocument/2006/relationships/customXml" Target="../customXml/item9.xml"/><Relationship Id="rId3" Type="http://schemas.openxmlformats.org/officeDocument/2006/relationships/worksheet" Target="worksheets/sheet3.xml"/><Relationship Id="rId21" Type="http://schemas.microsoft.com/office/2007/relationships/slicerCache" Target="slicerCaches/slicerCache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connections" Target="connections.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pivotCacheDefinition" Target="pivotCache/pivotCacheDefinition7.xml"/><Relationship Id="rId29" Type="http://schemas.openxmlformats.org/officeDocument/2006/relationships/powerPivotData" Target="model/item.data"/><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openxmlformats.org/officeDocument/2006/relationships/sheetMetadata" Target="metadata.xml"/><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openxmlformats.org/officeDocument/2006/relationships/sharedStrings" Target="sharedString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[NPS Simulation_main.xlsm]Pivot(connect)!PivotTable32</c:name>
    <c:fmtId val="42"/>
  </c:pivotSource>
  <c:chart>
    <c:title>
      <c:layout>
        <c:manualLayout>
          <c:xMode val="edge"/>
          <c:yMode val="edge"/>
          <c:x val="9.9342729599348173E-2"/>
          <c:y val="0.91534461334991457"/>
        </c:manualLayout>
      </c:layout>
      <c:overlay val="0"/>
      <c:spPr>
        <a:noFill/>
        <a:ln>
          <a:noFill/>
        </a:ln>
        <a:effectLst/>
      </c:spPr>
      <c:txPr>
        <a:bodyPr rot="0" spcFirstLastPara="1" vertOverflow="ellipsis" vert="horz" wrap="square" anchor="ctr" anchorCtr="1"/>
        <a:lstStyle/>
        <a:p>
          <a:pPr>
            <a:defRPr sz="18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8.3970257868757336E-2"/>
              <c:y val="6.9610861322223994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dLblPos val="inEnd"/>
          <c:showLegendKey val="0"/>
          <c:showVal val="0"/>
          <c:showCatName val="1"/>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5745093579398919"/>
          <c:w val="1"/>
          <c:h val="0.84231470206686887"/>
        </c:manualLayout>
      </c:layout>
      <c:pie3DChart>
        <c:varyColors val="1"/>
        <c:ser>
          <c:idx val="0"/>
          <c:order val="0"/>
          <c:tx>
            <c:strRef>
              <c:f>'Pivot(connect)'!$B$3:$B$4</c:f>
              <c:strCache>
                <c:ptCount val="1"/>
                <c:pt idx="0">
                  <c:v>Monthly</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CA56-45AA-BCC6-DC7F27162FE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CA56-45AA-BCC6-DC7F27162FE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CA56-45AA-BCC6-DC7F27162FE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CA56-45AA-BCC6-DC7F27162FE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CA56-45AA-BCC6-DC7F27162FE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CA56-45AA-BCC6-DC7F27162FE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CA56-45AA-BCC6-DC7F27162FE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CA56-45AA-BCC6-DC7F27162FE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CA56-45AA-BCC6-DC7F27162FE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CA56-45AA-BCC6-DC7F27162FE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CA56-45AA-BCC6-DC7F27162FE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CA56-45AA-BCC6-DC7F27162FEA}"/>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'Pivot(connect)'!$A$5:$A$15</c:f>
              <c:strCache>
                <c:ptCount val="11"/>
                <c:pt idx="0">
                  <c:v>Ashutosh Gawade</c:v>
                </c:pt>
                <c:pt idx="1">
                  <c:v>Ben Woodley</c:v>
                </c:pt>
                <c:pt idx="2">
                  <c:v>Jeremy Young</c:v>
                </c:pt>
                <c:pt idx="3">
                  <c:v>Juilo Arrioja</c:v>
                </c:pt>
                <c:pt idx="4">
                  <c:v>Kristin Thompson</c:v>
                </c:pt>
                <c:pt idx="5">
                  <c:v>Max Berggren</c:v>
                </c:pt>
                <c:pt idx="6">
                  <c:v>Michael Weiland</c:v>
                </c:pt>
                <c:pt idx="7">
                  <c:v>Oliver Monson</c:v>
                </c:pt>
                <c:pt idx="8">
                  <c:v>Sheila Nedelcu</c:v>
                </c:pt>
                <c:pt idx="9">
                  <c:v>Syed Fahim Akhtar</c:v>
                </c:pt>
                <c:pt idx="10">
                  <c:v>Vikas Wadhwa</c:v>
                </c:pt>
              </c:strCache>
            </c:strRef>
          </c:cat>
          <c:val>
            <c:numRef>
              <c:f>'Pivot(connect)'!$B$5:$B$15</c:f>
              <c:numCache>
                <c:formatCode>General</c:formatCode>
                <c:ptCount val="11"/>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18-CA56-45AA-BCC6-DC7F27162FEA}"/>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88292871997811206"/>
          <c:y val="5.895696665921155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6.3603597667446388E-2"/>
          <c:y val="0.13404191247253969"/>
          <c:w val="0.9308176100628931"/>
          <c:h val="0.68110377142454503"/>
        </c:manualLayout>
      </c:layout>
      <c:barChart>
        <c:barDir val="col"/>
        <c:grouping val="stacked"/>
        <c:varyColors val="0"/>
        <c:ser>
          <c:idx val="0"/>
          <c:order val="0"/>
          <c:tx>
            <c:strRef>
              <c:f>ques_feedback!$I$2</c:f>
              <c:strCache>
                <c:ptCount val="1"/>
                <c:pt idx="0">
                  <c:v>Sharing project Status Update</c:v>
                </c:pt>
              </c:strCache>
            </c:strRef>
          </c:tx>
          <c:spPr>
            <a:solidFill>
              <a:schemeClr val="accent1"/>
            </a:solidFill>
            <a:ln>
              <a:noFill/>
            </a:ln>
            <a:effectLst/>
          </c:spPr>
          <c:invertIfNegative val="0"/>
          <c:dPt>
            <c:idx val="0"/>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1-88D3-454E-A693-837F5DC6B147}"/>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88D3-454E-A693-837F5DC6B147}"/>
              </c:ext>
            </c:extLst>
          </c:dPt>
          <c:dPt>
            <c:idx val="2"/>
            <c:invertIfNegative val="0"/>
            <c:bubble3D val="0"/>
            <c:spPr>
              <a:solidFill>
                <a:schemeClr val="bg1">
                  <a:lumMod val="85000"/>
                </a:schemeClr>
              </a:solidFill>
              <a:ln>
                <a:noFill/>
              </a:ln>
              <a:effectLst/>
            </c:spPr>
            <c:extLst>
              <c:ext xmlns:c16="http://schemas.microsoft.com/office/drawing/2014/chart" uri="{C3380CC4-5D6E-409C-BE32-E72D297353CC}">
                <c16:uniqueId val="{00000005-88D3-454E-A693-837F5DC6B147}"/>
              </c:ext>
            </c:extLst>
          </c:dPt>
          <c:dPt>
            <c:idx val="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7-88D3-454E-A693-837F5DC6B147}"/>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88D3-454E-A693-837F5DC6B147}"/>
              </c:ext>
            </c:extLst>
          </c:dPt>
          <c:dLbls>
            <c:dLbl>
              <c:idx val="0"/>
              <c:layout>
                <c:manualLayout>
                  <c:x val="0"/>
                  <c:y val="-0.20475242416716635"/>
                </c:manualLayout>
              </c:layout>
              <c:dLblPos val="ct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8D3-454E-A693-837F5DC6B147}"/>
                </c:ext>
              </c:extLst>
            </c:dLbl>
            <c:dLbl>
              <c:idx val="1"/>
              <c:layout>
                <c:manualLayout>
                  <c:x val="3.7850542216468146E-3"/>
                  <c:y val="-0.37900980643709514"/>
                </c:manualLayout>
              </c:layout>
              <c:dLblPos val="ct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88D3-454E-A693-837F5DC6B147}"/>
                </c:ext>
              </c:extLst>
            </c:dLbl>
            <c:dLbl>
              <c:idx val="2"/>
              <c:layout>
                <c:manualLayout>
                  <c:x val="0"/>
                  <c:y val="-0.16118807859968423"/>
                </c:manualLayout>
              </c:layout>
              <c:dLblPos val="ct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88D3-454E-A693-837F5DC6B147}"/>
                </c:ext>
              </c:extLst>
            </c:dLbl>
            <c:dLbl>
              <c:idx val="3"/>
              <c:layout>
                <c:manualLayout>
                  <c:x val="0"/>
                  <c:y val="-0.36594050276685047"/>
                </c:manualLayout>
              </c:layout>
              <c:dLblPos val="ct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88D3-454E-A693-837F5DC6B147}"/>
                </c:ext>
              </c:extLst>
            </c:dLbl>
            <c:dLbl>
              <c:idx val="4"/>
              <c:layout>
                <c:manualLayout>
                  <c:x val="0"/>
                  <c:y val="-0.26138607340489323"/>
                </c:manualLayout>
              </c:layout>
              <c:dLblPos val="ct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88D3-454E-A693-837F5DC6B147}"/>
                </c:ext>
              </c:extLst>
            </c:dLbl>
            <c:numFmt formatCode="#&quot;&quot;" sourceLinked="0"/>
            <c:spPr>
              <a:noFill/>
              <a:ln w="0">
                <a:noFill/>
                <a:round/>
              </a:ln>
              <a:effectLst/>
            </c:spPr>
            <c:txPr>
              <a:bodyPr rot="0" spcFirstLastPara="1" vertOverflow="clip" horzOverflow="clip" vert="horz" wrap="square" lIns="36576" tIns="18288" rIns="36576" bIns="18288" anchor="ctr" anchorCtr="1">
                <a:spAutoFit/>
              </a:bodyPr>
              <a:lstStyle/>
              <a:p>
                <a:pPr>
                  <a:defRPr sz="1400" b="1"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0"/>
              </c:ext>
            </c:extLst>
          </c:dLbls>
          <c:cat>
            <c:strRef>
              <c:f>ques_feedback!$H$3:$H$7</c:f>
              <c:strCache>
                <c:ptCount val="5"/>
                <c:pt idx="0">
                  <c:v>Strongly Agree</c:v>
                </c:pt>
                <c:pt idx="1">
                  <c:v>Agree</c:v>
                </c:pt>
                <c:pt idx="2">
                  <c:v>Neither Agree or Disagre</c:v>
                </c:pt>
                <c:pt idx="3">
                  <c:v>Disagree</c:v>
                </c:pt>
                <c:pt idx="4">
                  <c:v>Strongly Disagree</c:v>
                </c:pt>
              </c:strCache>
            </c:strRef>
          </c:cat>
          <c:val>
            <c:numRef>
              <c:f>ques_feedback!$I$3:$I$7</c:f>
              <c:numCache>
                <c:formatCode>General</c:formatCode>
                <c:ptCount val="5"/>
                <c:pt idx="0">
                  <c:v>0</c:v>
                </c:pt>
                <c:pt idx="1">
                  <c:v>0</c:v>
                </c:pt>
                <c:pt idx="2">
                  <c:v>6</c:v>
                </c:pt>
                <c:pt idx="3">
                  <c:v>6</c:v>
                </c:pt>
                <c:pt idx="4">
                  <c:v>8</c:v>
                </c:pt>
              </c:numCache>
            </c:numRef>
          </c:val>
          <c:extLst>
            <c:ext xmlns:c16="http://schemas.microsoft.com/office/drawing/2014/chart" uri="{C3380CC4-5D6E-409C-BE32-E72D297353CC}">
              <c16:uniqueId val="{0000000A-88D3-454E-A693-837F5DC6B147}"/>
            </c:ext>
          </c:extLst>
        </c:ser>
        <c:dLbls>
          <c:showLegendKey val="0"/>
          <c:showVal val="0"/>
          <c:showCatName val="0"/>
          <c:showSerName val="0"/>
          <c:showPercent val="0"/>
          <c:showBubbleSize val="0"/>
        </c:dLbls>
        <c:gapWidth val="150"/>
        <c:overlap val="100"/>
        <c:axId val="658050456"/>
        <c:axId val="658048816"/>
      </c:barChart>
      <c:catAx>
        <c:axId val="658050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58048816"/>
        <c:crosses val="autoZero"/>
        <c:auto val="1"/>
        <c:lblAlgn val="ctr"/>
        <c:lblOffset val="100"/>
        <c:noMultiLvlLbl val="0"/>
      </c:catAx>
      <c:valAx>
        <c:axId val="658048816"/>
        <c:scaling>
          <c:orientation val="minMax"/>
        </c:scaling>
        <c:delete val="1"/>
        <c:axPos val="l"/>
        <c:numFmt formatCode="General" sourceLinked="1"/>
        <c:majorTickMark val="none"/>
        <c:minorTickMark val="none"/>
        <c:tickLblPos val="nextTo"/>
        <c:crossAx val="658050456"/>
        <c:crosses val="autoZero"/>
        <c:crossBetween val="between"/>
      </c:valAx>
      <c:spPr>
        <a:noFill/>
        <a:ln w="9525">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1">
                <a:lumMod val="75000"/>
              </a:schemeClr>
            </a:solidFill>
          </c:spPr>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83D3-40B4-AAA1-DC1517100AE3}"/>
              </c:ext>
            </c:extLst>
          </c:dPt>
          <c:dPt>
            <c:idx val="1"/>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3-83D3-40B4-AAA1-DC1517100AE3}"/>
              </c:ext>
            </c:extLst>
          </c:dPt>
          <c:dPt>
            <c:idx val="2"/>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5-83D3-40B4-AAA1-DC1517100AE3}"/>
              </c:ext>
            </c:extLst>
          </c:dPt>
          <c:dPt>
            <c:idx val="3"/>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7-83D3-40B4-AAA1-DC1517100AE3}"/>
              </c:ext>
            </c:extLst>
          </c:dPt>
          <c:dPt>
            <c:idx val="4"/>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9-83D3-40B4-AAA1-DC1517100AE3}"/>
              </c:ext>
            </c:extLst>
          </c:dPt>
          <c:dPt>
            <c:idx val="5"/>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B-83D3-40B4-AAA1-DC1517100AE3}"/>
              </c:ext>
            </c:extLst>
          </c:dPt>
          <c:dPt>
            <c:idx val="6"/>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D-83D3-40B4-AAA1-DC1517100AE3}"/>
              </c:ext>
            </c:extLst>
          </c:dPt>
          <c:dPt>
            <c:idx val="7"/>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F-83D3-40B4-AAA1-DC1517100AE3}"/>
              </c:ext>
            </c:extLst>
          </c:dPt>
          <c:dPt>
            <c:idx val="8"/>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11-83D3-40B4-AAA1-DC1517100AE3}"/>
              </c:ext>
            </c:extLst>
          </c:dPt>
          <c:dPt>
            <c:idx val="9"/>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13-83D3-40B4-AAA1-DC1517100AE3}"/>
              </c:ext>
            </c:extLst>
          </c:dPt>
          <c:dPt>
            <c:idx val="1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15-83D3-40B4-AAA1-DC1517100AE3}"/>
              </c:ext>
            </c:extLst>
          </c:dPt>
          <c:dPt>
            <c:idx val="11"/>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17-83D3-40B4-AAA1-DC1517100AE3}"/>
              </c:ext>
            </c:extLst>
          </c:dPt>
          <c:dPt>
            <c:idx val="12"/>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19-83D3-40B4-AAA1-DC1517100AE3}"/>
              </c:ext>
            </c:extLst>
          </c:dPt>
          <c:dPt>
            <c:idx val="13"/>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1B-83D3-40B4-AAA1-DC1517100AE3}"/>
              </c:ext>
            </c:extLst>
          </c:dPt>
          <c:dPt>
            <c:idx val="14"/>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1D-83D3-40B4-AAA1-DC1517100AE3}"/>
              </c:ext>
            </c:extLst>
          </c:dPt>
          <c:dPt>
            <c:idx val="15"/>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1F-83D3-40B4-AAA1-DC1517100AE3}"/>
              </c:ext>
            </c:extLst>
          </c:dPt>
          <c:dPt>
            <c:idx val="16"/>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21-83D3-40B4-AAA1-DC1517100AE3}"/>
              </c:ext>
            </c:extLst>
          </c:dPt>
          <c:dPt>
            <c:idx val="17"/>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23-83D3-40B4-AAA1-DC1517100AE3}"/>
              </c:ext>
            </c:extLst>
          </c:dPt>
          <c:dPt>
            <c:idx val="18"/>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25-83D3-40B4-AAA1-DC1517100AE3}"/>
              </c:ext>
            </c:extLst>
          </c:dPt>
          <c:dPt>
            <c:idx val="19"/>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27-83D3-40B4-AAA1-DC1517100AE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3D3-40B4-AAA1-DC1517100AE3}"/>
            </c:ext>
          </c:extLst>
        </c:ser>
        <c:dLbls>
          <c:showLegendKey val="0"/>
          <c:showVal val="0"/>
          <c:showCatName val="0"/>
          <c:showSerName val="0"/>
          <c:showPercent val="0"/>
          <c:showBubbleSize val="0"/>
          <c:showLeaderLines val="1"/>
        </c:dLbls>
        <c:firstSliceAng val="0"/>
        <c:holeSize val="65"/>
      </c:doughnutChart>
      <c:doughnutChart>
        <c:varyColors val="1"/>
        <c:ser>
          <c:idx val="1"/>
          <c:order val="1"/>
          <c:dPt>
            <c:idx val="0"/>
            <c:bubble3D val="0"/>
            <c:spPr>
              <a:noFill/>
              <a:ln w="19050">
                <a:solidFill>
                  <a:schemeClr val="lt1"/>
                </a:solidFill>
              </a:ln>
              <a:effectLst/>
            </c:spPr>
            <c:extLst>
              <c:ext xmlns:c16="http://schemas.microsoft.com/office/drawing/2014/chart" uri="{C3380CC4-5D6E-409C-BE32-E72D297353CC}">
                <c16:uniqueId val="{0000002A-83D3-40B4-AAA1-DC1517100AE3}"/>
              </c:ext>
            </c:extLst>
          </c:dPt>
          <c:dPt>
            <c:idx val="1"/>
            <c:bubble3D val="0"/>
            <c:spPr>
              <a:solidFill>
                <a:schemeClr val="bg1">
                  <a:alpha val="80000"/>
                </a:schemeClr>
              </a:solidFill>
              <a:ln w="19050">
                <a:solidFill>
                  <a:schemeClr val="lt1"/>
                </a:solidFill>
              </a:ln>
              <a:effectLst/>
            </c:spPr>
            <c:extLst>
              <c:ext xmlns:c16="http://schemas.microsoft.com/office/drawing/2014/chart" uri="{C3380CC4-5D6E-409C-BE32-E72D297353CC}">
                <c16:uniqueId val="{0000002C-83D3-40B4-AAA1-DC1517100AE3}"/>
              </c:ext>
            </c:extLst>
          </c:dPt>
          <c:val>
            <c:numRef>
              <c:f>'Pivot(ratings)'!$M$11:$N$11</c:f>
              <c:numCache>
                <c:formatCode>0%</c:formatCode>
                <c:ptCount val="2"/>
                <c:pt idx="0">
                  <c:v>0.45098039215686275</c:v>
                </c:pt>
                <c:pt idx="1">
                  <c:v>0.5490196078431373</c:v>
                </c:pt>
              </c:numCache>
            </c:numRef>
          </c:val>
          <c:extLst>
            <c:ext xmlns:c16="http://schemas.microsoft.com/office/drawing/2014/chart" uri="{C3380CC4-5D6E-409C-BE32-E72D297353CC}">
              <c16:uniqueId val="{0000002D-83D3-40B4-AAA1-DC1517100AE3}"/>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blipFill>
              <a:blip xmlns:r="http://schemas.openxmlformats.org/officeDocument/2006/relationships" r:embed="rId3"/>
              <a:stretch>
                <a:fillRect/>
              </a:stretch>
            </a:blipFill>
            <a:ln>
              <a:noFill/>
            </a:ln>
            <a:effectLst/>
          </c:spPr>
          <c:invertIfNegative val="0"/>
          <c:pictureOptions>
            <c:pictureFormat val="stackScale"/>
            <c:pictureStackUnit val="0.1"/>
          </c:pictureOptions>
          <c:val>
            <c:numRef>
              <c:f>'Pivot(connect)'!$P$5</c:f>
              <c:numCache>
                <c:formatCode>0%</c:formatCode>
                <c:ptCount val="1"/>
                <c:pt idx="0">
                  <c:v>0.21568627450980393</c:v>
                </c:pt>
              </c:numCache>
            </c:numRef>
          </c:val>
          <c:extLst>
            <c:ext xmlns:c16="http://schemas.microsoft.com/office/drawing/2014/chart" uri="{C3380CC4-5D6E-409C-BE32-E72D297353CC}">
              <c16:uniqueId val="{00000000-1391-487D-B0F1-5EF0C90F0606}"/>
            </c:ext>
          </c:extLst>
        </c:ser>
        <c:ser>
          <c:idx val="1"/>
          <c:order val="1"/>
          <c:spPr>
            <a:solidFill>
              <a:schemeClr val="accent2"/>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2-1391-487D-B0F1-5EF0C90F0606}"/>
              </c:ext>
            </c:extLst>
          </c:dPt>
          <c:val>
            <c:numRef>
              <c:f>'Pivot(connect)'!$Q$5</c:f>
              <c:numCache>
                <c:formatCode>0%</c:formatCode>
                <c:ptCount val="1"/>
                <c:pt idx="0">
                  <c:v>0.78431372549019607</c:v>
                </c:pt>
              </c:numCache>
            </c:numRef>
          </c:val>
          <c:extLst>
            <c:ext xmlns:c16="http://schemas.microsoft.com/office/drawing/2014/chart" uri="{C3380CC4-5D6E-409C-BE32-E72D297353CC}">
              <c16:uniqueId val="{00000003-1391-487D-B0F1-5EF0C90F0606}"/>
            </c:ext>
          </c:extLst>
        </c:ser>
        <c:dLbls>
          <c:showLegendKey val="0"/>
          <c:showVal val="0"/>
          <c:showCatName val="0"/>
          <c:showSerName val="0"/>
          <c:showPercent val="0"/>
          <c:showBubbleSize val="0"/>
        </c:dLbls>
        <c:gapWidth val="20"/>
        <c:overlap val="100"/>
        <c:axId val="676604760"/>
        <c:axId val="676605088"/>
      </c:barChart>
      <c:catAx>
        <c:axId val="676604760"/>
        <c:scaling>
          <c:orientation val="minMax"/>
        </c:scaling>
        <c:delete val="1"/>
        <c:axPos val="b"/>
        <c:majorTickMark val="none"/>
        <c:minorTickMark val="none"/>
        <c:tickLblPos val="nextTo"/>
        <c:crossAx val="676605088"/>
        <c:crosses val="autoZero"/>
        <c:auto val="1"/>
        <c:lblAlgn val="ctr"/>
        <c:lblOffset val="100"/>
        <c:noMultiLvlLbl val="0"/>
      </c:catAx>
      <c:valAx>
        <c:axId val="676605088"/>
        <c:scaling>
          <c:orientation val="minMax"/>
          <c:max val="1"/>
          <c:min val="0"/>
        </c:scaling>
        <c:delete val="1"/>
        <c:axPos val="l"/>
        <c:numFmt formatCode="0%" sourceLinked="1"/>
        <c:majorTickMark val="none"/>
        <c:minorTickMark val="none"/>
        <c:tickLblPos val="nextTo"/>
        <c:crossAx val="676604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'Pivot(ratings)'!$I$23</c:f>
              <c:strCache>
                <c:ptCount val="1"/>
                <c:pt idx="0">
                  <c:v>Detractor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F17-448C-A9BA-FB91C4921A9B}"/>
              </c:ext>
            </c:extLst>
          </c:dPt>
          <c:dPt>
            <c:idx val="1"/>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3F17-448C-A9BA-FB91C4921A9B}"/>
              </c:ext>
            </c:extLst>
          </c:dPt>
          <c:dPt>
            <c:idx val="2"/>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F17-448C-A9BA-FB91C4921A9B}"/>
              </c:ext>
            </c:extLst>
          </c:dPt>
          <c:dPt>
            <c:idx val="3"/>
            <c:invertIfNegative val="0"/>
            <c:bubble3D val="0"/>
            <c:spPr>
              <a:solidFill>
                <a:schemeClr val="accent4">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3F17-448C-A9BA-FB91C4921A9B}"/>
              </c:ext>
            </c:extLst>
          </c:dPt>
          <c:dPt>
            <c:idx val="4"/>
            <c:invertIfNegative val="0"/>
            <c:bubble3D val="0"/>
            <c:spPr>
              <a:solidFill>
                <a:schemeClr val="accent1">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F17-448C-A9BA-FB91C4921A9B}"/>
              </c:ext>
            </c:extLst>
          </c:dPt>
          <c:dLbls>
            <c:numFmt formatCode="#&quot;&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'Pivot(ratings)'!$J$22:$O$22</c:f>
              <c:strCache>
                <c:ptCount val="6"/>
                <c:pt idx="0">
                  <c:v>ALC</c:v>
                </c:pt>
                <c:pt idx="1">
                  <c:v>HDLM</c:v>
                </c:pt>
                <c:pt idx="2">
                  <c:v>Here Lanes</c:v>
                </c:pt>
                <c:pt idx="3">
                  <c:v>Localization &amp; HDLM</c:v>
                </c:pt>
                <c:pt idx="4">
                  <c:v>MFA</c:v>
                </c:pt>
                <c:pt idx="5">
                  <c:v>Localization </c:v>
                </c:pt>
              </c:strCache>
            </c:strRef>
          </c:cat>
          <c:val>
            <c:numRef>
              <c:f>'Pivot(ratings)'!$J$23:$O$23</c:f>
              <c:numCache>
                <c:formatCode>General</c:formatCode>
                <c:ptCount val="6"/>
                <c:pt idx="0">
                  <c:v>10</c:v>
                </c:pt>
                <c:pt idx="1">
                  <c:v>5</c:v>
                </c:pt>
                <c:pt idx="2">
                  <c:v>3</c:v>
                </c:pt>
                <c:pt idx="3">
                  <c:v>2</c:v>
                </c:pt>
                <c:pt idx="4">
                  <c:v>0</c:v>
                </c:pt>
                <c:pt idx="5">
                  <c:v>5</c:v>
                </c:pt>
              </c:numCache>
            </c:numRef>
          </c:val>
          <c:extLst>
            <c:ext xmlns:c16="http://schemas.microsoft.com/office/drawing/2014/chart" uri="{C3380CC4-5D6E-409C-BE32-E72D297353CC}">
              <c16:uniqueId val="{00000000-CC6D-42B0-94E4-7C681E2E4455}"/>
            </c:ext>
          </c:extLst>
        </c:ser>
        <c:dLbls>
          <c:showLegendKey val="0"/>
          <c:showVal val="0"/>
          <c:showCatName val="0"/>
          <c:showSerName val="0"/>
          <c:showPercent val="0"/>
          <c:showBubbleSize val="0"/>
        </c:dLbls>
        <c:gapWidth val="150"/>
        <c:overlap val="100"/>
        <c:axId val="682339304"/>
        <c:axId val="682336352"/>
      </c:barChart>
      <c:catAx>
        <c:axId val="68233930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sz="1200" baseline="0"/>
                  <a:t>Audience</a:t>
                </a:r>
                <a:endParaRPr lang="en-US" sz="1200"/>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1" i="0" u="none" strike="noStrike" kern="1200" baseline="0">
                <a:solidFill>
                  <a:schemeClr val="lt1">
                    <a:lumMod val="85000"/>
                  </a:schemeClr>
                </a:solidFill>
                <a:latin typeface="+mn-lt"/>
                <a:ea typeface="+mn-ea"/>
                <a:cs typeface="+mn-cs"/>
              </a:defRPr>
            </a:pPr>
            <a:endParaRPr lang="en-US"/>
          </a:p>
        </c:txPr>
        <c:crossAx val="682336352"/>
        <c:crosses val="autoZero"/>
        <c:auto val="1"/>
        <c:lblAlgn val="ctr"/>
        <c:lblOffset val="100"/>
        <c:noMultiLvlLbl val="0"/>
      </c:catAx>
      <c:valAx>
        <c:axId val="68233635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2339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[NPS Simulation_main.xlsm]Sheet12!PivotTable13</c:name>
    <c:fmtId val="6"/>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014421994962391"/>
          <c:w val="0.96084464573653683"/>
          <c:h val="0.82641807177294402"/>
        </c:manualLayout>
      </c:layout>
      <c:pie3DChart>
        <c:varyColors val="1"/>
        <c:ser>
          <c:idx val="0"/>
          <c:order val="0"/>
          <c:tx>
            <c:strRef>
              <c:f>Sheet12!$B$3</c:f>
              <c:strCache>
                <c:ptCount val="1"/>
                <c:pt idx="0">
                  <c:v>Total</c:v>
                </c:pt>
              </c:strCache>
            </c:strRef>
          </c:tx>
          <c:explosion val="3"/>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ACB3-49B0-B26A-27F997074E8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ACB3-49B0-B26A-27F997074E8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ACB3-49B0-B26A-27F997074E8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ACB3-49B0-B26A-27F997074E8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ACB3-49B0-B26A-27F997074E8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ACB3-49B0-B26A-27F997074E8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ACB3-49B0-B26A-27F997074E8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ACB3-49B0-B26A-27F997074E83}"/>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ACB3-49B0-B26A-27F997074E83}"/>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ACB3-49B0-B26A-27F997074E83}"/>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ACB3-49B0-B26A-27F997074E8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ACB3-49B0-B26A-27F997074E8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ACB3-49B0-B26A-27F997074E8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ACB3-49B0-B26A-27F997074E8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ACB3-49B0-B26A-27F997074E8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F-ACB3-49B0-B26A-27F997074E8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1-ACB3-49B0-B26A-27F997074E8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3-ACB3-49B0-B26A-27F997074E8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5-ACB3-49B0-B26A-27F997074E8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7-ACB3-49B0-B26A-27F997074E8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9-ACB3-49B0-B26A-27F997074E8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B-ACB3-49B0-B26A-27F997074E8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D-ACB3-49B0-B26A-27F997074E8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F-ACB3-49B0-B26A-27F997074E8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1-ACB3-49B0-B26A-27F997074E8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3-ACB3-49B0-B26A-27F997074E8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5-ACB3-49B0-B26A-27F997074E83}"/>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7-ACB3-49B0-B26A-27F997074E83}"/>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9-ACB3-49B0-B26A-27F997074E83}"/>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B-ACB3-49B0-B26A-27F997074E83}"/>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D-ACB3-49B0-B26A-27F997074E83}"/>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F-ACB3-49B0-B26A-27F997074E83}"/>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1-ACB3-49B0-B26A-27F997074E83}"/>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3-ACB3-49B0-B26A-27F997074E83}"/>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5-ACB3-49B0-B26A-27F997074E83}"/>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7-ACB3-49B0-B26A-27F997074E83}"/>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9-ACB3-49B0-B26A-27F997074E83}"/>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B-ACB3-49B0-B26A-27F997074E83}"/>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D-ACB3-49B0-B26A-27F997074E83}"/>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F-ACB3-49B0-B26A-27F997074E83}"/>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51-ACB3-49B0-B26A-27F997074E83}"/>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53-ACB3-49B0-B26A-27F997074E83}"/>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55-ACB3-49B0-B26A-27F997074E83}"/>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57-ACB3-49B0-B26A-27F997074E83}"/>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59-ACB3-49B0-B26A-27F997074E83}"/>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5B-ACB3-49B0-B26A-27F997074E83}"/>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5D-ACB3-49B0-B26A-27F997074E83}"/>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5F-ACB3-49B0-B26A-27F997074E83}"/>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61-ACB3-49B0-B26A-27F997074E83}"/>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63-ACB3-49B0-B26A-27F997074E83}"/>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65-ACB3-49B0-B26A-27F997074E83}"/>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lumMod val="85000"/>
                      </a:schemeClr>
                    </a:solidFill>
                    <a:latin typeface="+mn-lt"/>
                    <a:ea typeface="+mn-ea"/>
                    <a:cs typeface="+mn-cs"/>
                  </a:defRPr>
                </a:pPr>
                <a:endParaRPr lang="en-US"/>
              </a:p>
            </c:txPr>
            <c:dLblPos val="inEnd"/>
            <c:showLegendKey val="0"/>
            <c:showVal val="0"/>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Sheet12!$A$4:$A$18</c:f>
              <c:strCache>
                <c:ptCount val="14"/>
                <c:pt idx="0">
                  <c:v>Alind Chonkar</c:v>
                </c:pt>
                <c:pt idx="1">
                  <c:v>Andrew Wilson</c:v>
                </c:pt>
                <c:pt idx="2">
                  <c:v>Ashutosh Gawade</c:v>
                </c:pt>
                <c:pt idx="3">
                  <c:v>Brandon Ludwig</c:v>
                </c:pt>
                <c:pt idx="4">
                  <c:v>Don Peterson</c:v>
                </c:pt>
                <c:pt idx="5">
                  <c:v>Girish Vengaserry</c:v>
                </c:pt>
                <c:pt idx="6">
                  <c:v>Hussain Khan</c:v>
                </c:pt>
                <c:pt idx="7">
                  <c:v>Johan Beerens</c:v>
                </c:pt>
                <c:pt idx="8">
                  <c:v>Kristin Thompson</c:v>
                </c:pt>
                <c:pt idx="9">
                  <c:v>Michael Kennedy</c:v>
                </c:pt>
                <c:pt idx="10">
                  <c:v>Phillip Bernard</c:v>
                </c:pt>
                <c:pt idx="11">
                  <c:v>Sjon Kuijpers</c:v>
                </c:pt>
                <c:pt idx="12">
                  <c:v>Syed Fahim Akhtar</c:v>
                </c:pt>
                <c:pt idx="13">
                  <c:v>Vikas Wadhwa</c:v>
                </c:pt>
              </c:strCache>
            </c:strRef>
          </c:cat>
          <c:val>
            <c:numRef>
              <c:f>Sheet12!$B$4:$B$18</c:f>
              <c:numCache>
                <c:formatCode>General</c:formatCode>
                <c:ptCount val="14"/>
                <c:pt idx="0">
                  <c:v>1</c:v>
                </c:pt>
                <c:pt idx="1">
                  <c:v>1</c:v>
                </c:pt>
                <c:pt idx="2">
                  <c:v>1</c:v>
                </c:pt>
                <c:pt idx="3">
                  <c:v>1</c:v>
                </c:pt>
                <c:pt idx="4">
                  <c:v>1</c:v>
                </c:pt>
                <c:pt idx="5">
                  <c:v>1</c:v>
                </c:pt>
                <c:pt idx="6">
                  <c:v>1</c:v>
                </c:pt>
                <c:pt idx="7">
                  <c:v>1</c:v>
                </c:pt>
                <c:pt idx="8">
                  <c:v>1</c:v>
                </c:pt>
                <c:pt idx="9">
                  <c:v>1</c:v>
                </c:pt>
                <c:pt idx="10">
                  <c:v>1</c:v>
                </c:pt>
                <c:pt idx="11">
                  <c:v>1</c:v>
                </c:pt>
                <c:pt idx="12">
                  <c:v>1</c:v>
                </c:pt>
                <c:pt idx="13">
                  <c:v>1</c:v>
                </c:pt>
              </c:numCache>
            </c:numRef>
          </c:val>
          <c:extLst>
            <c:ext xmlns:c16="http://schemas.microsoft.com/office/drawing/2014/chart" uri="{C3380CC4-5D6E-409C-BE32-E72D297353CC}">
              <c16:uniqueId val="{00000066-ACB3-49B0-B26A-27F997074E83}"/>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18" Type="http://schemas.openxmlformats.org/officeDocument/2006/relationships/chart" Target="../charts/chart5.xml"/><Relationship Id="rId3" Type="http://schemas.openxmlformats.org/officeDocument/2006/relationships/chart" Target="../charts/chart1.xml"/><Relationship Id="rId7" Type="http://schemas.openxmlformats.org/officeDocument/2006/relationships/image" Target="../media/image4.svg"/><Relationship Id="rId12" Type="http://schemas.openxmlformats.org/officeDocument/2006/relationships/image" Target="../media/image9.png"/><Relationship Id="rId17" Type="http://schemas.openxmlformats.org/officeDocument/2006/relationships/chart" Target="../charts/chart4.xml"/><Relationship Id="rId2" Type="http://schemas.microsoft.com/office/2007/relationships/hdphoto" Target="../media/hdphoto1.wdp"/><Relationship Id="rId16" Type="http://schemas.openxmlformats.org/officeDocument/2006/relationships/chart" Target="../charts/chart3.xml"/><Relationship Id="rId1" Type="http://schemas.openxmlformats.org/officeDocument/2006/relationships/image" Target="../media/image1.png"/><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chart" Target="../charts/chart2.xml"/><Relationship Id="rId15" Type="http://schemas.openxmlformats.org/officeDocument/2006/relationships/image" Target="../media/image12.svg"/><Relationship Id="rId10" Type="http://schemas.openxmlformats.org/officeDocument/2006/relationships/image" Target="../media/image7.png"/><Relationship Id="rId19" Type="http://schemas.openxmlformats.org/officeDocument/2006/relationships/chart" Target="../charts/chart6.xml"/><Relationship Id="rId4" Type="http://schemas.openxmlformats.org/officeDocument/2006/relationships/image" Target="../media/image2.png"/><Relationship Id="rId9" Type="http://schemas.openxmlformats.org/officeDocument/2006/relationships/image" Target="../media/image6.sv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52</xdr:col>
      <xdr:colOff>290397</xdr:colOff>
      <xdr:row>5</xdr:row>
      <xdr:rowOff>180975</xdr:rowOff>
    </xdr:to>
    <xdr:grpSp>
      <xdr:nvGrpSpPr>
        <xdr:cNvPr id="6" name="Group 4">
          <a:extLst>
            <a:ext uri="{FF2B5EF4-FFF2-40B4-BE49-F238E27FC236}">
              <a16:creationId xmlns:a16="http://schemas.microsoft.com/office/drawing/2014/main" id="{7B56F5EB-4902-45B3-9C26-DAE001003852}"/>
            </a:ext>
          </a:extLst>
        </xdr:cNvPr>
        <xdr:cNvGrpSpPr>
          <a:grpSpLocks/>
        </xdr:cNvGrpSpPr>
      </xdr:nvGrpSpPr>
      <xdr:grpSpPr bwMode="auto">
        <a:xfrm flipH="1">
          <a:off x="0" y="0"/>
          <a:ext cx="20970948" cy="1149619"/>
          <a:chOff x="0" y="0"/>
          <a:chExt cx="12317176" cy="1228725"/>
        </a:xfrm>
      </xdr:grpSpPr>
      <xdr:pic>
        <xdr:nvPicPr>
          <xdr:cNvPr id="7" name="Picture 5">
            <a:extLst>
              <a:ext uri="{FF2B5EF4-FFF2-40B4-BE49-F238E27FC236}">
                <a16:creationId xmlns:a16="http://schemas.microsoft.com/office/drawing/2014/main" id="{BB960D03-01A9-4CFF-98F8-D41056688A6A}"/>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rcRect t="9250" b="58749"/>
          <a:stretch>
            <a:fillRect/>
          </a:stretch>
        </xdr:blipFill>
        <xdr:spPr bwMode="auto">
          <a:xfrm>
            <a:off x="0" y="0"/>
            <a:ext cx="508000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8" name="Rectangle 7">
            <a:extLst>
              <a:ext uri="{FF2B5EF4-FFF2-40B4-BE49-F238E27FC236}">
                <a16:creationId xmlns:a16="http://schemas.microsoft.com/office/drawing/2014/main" id="{A325BFFE-2A37-46DB-A5C6-248B525693B6}"/>
              </a:ext>
            </a:extLst>
          </xdr:cNvPr>
          <xdr:cNvSpPr/>
        </xdr:nvSpPr>
        <xdr:spPr>
          <a:xfrm>
            <a:off x="3717524" y="15753"/>
            <a:ext cx="8599652" cy="1212972"/>
          </a:xfrm>
          <a:prstGeom prst="rect">
            <a:avLst/>
          </a:prstGeom>
          <a:gradFill flip="none" rotWithShape="1">
            <a:gsLst>
              <a:gs pos="0">
                <a:schemeClr val="tx2">
                  <a:lumMod val="75000"/>
                  <a:shade val="30000"/>
                  <a:satMod val="115000"/>
                  <a:alpha val="0"/>
                </a:schemeClr>
              </a:gs>
              <a:gs pos="10000">
                <a:schemeClr val="tx2">
                  <a:lumMod val="75000"/>
                  <a:shade val="67500"/>
                  <a:satMod val="115000"/>
                </a:schemeClr>
              </a:gs>
              <a:gs pos="100000">
                <a:schemeClr val="tx2">
                  <a:lumMod val="75000"/>
                  <a:shade val="100000"/>
                  <a:satMod val="11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lientData/>
  </xdr:twoCellAnchor>
  <xdr:twoCellAnchor>
    <xdr:from>
      <xdr:col>10</xdr:col>
      <xdr:colOff>49402</xdr:colOff>
      <xdr:row>0</xdr:row>
      <xdr:rowOff>114300</xdr:rowOff>
    </xdr:from>
    <xdr:to>
      <xdr:col>40</xdr:col>
      <xdr:colOff>322880</xdr:colOff>
      <xdr:row>4</xdr:row>
      <xdr:rowOff>149224</xdr:rowOff>
    </xdr:to>
    <xdr:sp macro="" textlink="">
      <xdr:nvSpPr>
        <xdr:cNvPr id="9" name="TextBox 8">
          <a:extLst>
            <a:ext uri="{FF2B5EF4-FFF2-40B4-BE49-F238E27FC236}">
              <a16:creationId xmlns:a16="http://schemas.microsoft.com/office/drawing/2014/main" id="{782614B9-DE4D-405F-A851-7B2CA5D35684}"/>
            </a:ext>
          </a:extLst>
        </xdr:cNvPr>
        <xdr:cNvSpPr txBox="1"/>
      </xdr:nvSpPr>
      <xdr:spPr>
        <a:xfrm>
          <a:off x="6022707" y="114300"/>
          <a:ext cx="7635173" cy="76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a:solidFill>
                <a:schemeClr val="bg1"/>
              </a:solidFill>
              <a:latin typeface="Arial Rounded MT Bold" panose="020F0704030504030204" pitchFamily="34" charset="0"/>
            </a:rPr>
            <a:t>DASHBOARD</a:t>
          </a:r>
        </a:p>
      </xdr:txBody>
    </xdr:sp>
    <xdr:clientData/>
  </xdr:twoCellAnchor>
  <xdr:twoCellAnchor editAs="absolute">
    <xdr:from>
      <xdr:col>13</xdr:col>
      <xdr:colOff>183558</xdr:colOff>
      <xdr:row>27</xdr:row>
      <xdr:rowOff>150115</xdr:rowOff>
    </xdr:from>
    <xdr:to>
      <xdr:col>44</xdr:col>
      <xdr:colOff>495085</xdr:colOff>
      <xdr:row>51</xdr:row>
      <xdr:rowOff>217168</xdr:rowOff>
    </xdr:to>
    <xdr:graphicFrame macro="">
      <xdr:nvGraphicFramePr>
        <xdr:cNvPr id="44" name="Chart 43">
          <a:extLst>
            <a:ext uri="{FF2B5EF4-FFF2-40B4-BE49-F238E27FC236}">
              <a16:creationId xmlns:a16="http://schemas.microsoft.com/office/drawing/2014/main" id="{D6ACCD24-611E-4838-B3F2-448658569E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48</xdr:col>
      <xdr:colOff>93398</xdr:colOff>
      <xdr:row>30</xdr:row>
      <xdr:rowOff>118166</xdr:rowOff>
    </xdr:from>
    <xdr:to>
      <xdr:col>52</xdr:col>
      <xdr:colOff>242161</xdr:colOff>
      <xdr:row>36</xdr:row>
      <xdr:rowOff>161440</xdr:rowOff>
    </xdr:to>
    <mc:AlternateContent xmlns:mc="http://schemas.openxmlformats.org/markup-compatibility/2006" xmlns:a14="http://schemas.microsoft.com/office/drawing/2010/main">
      <mc:Choice Requires="a14">
        <xdr:graphicFrame macro="">
          <xdr:nvGraphicFramePr>
            <xdr:cNvPr id="43" name="Current Engagement Frequency">
              <a:extLst>
                <a:ext uri="{FF2B5EF4-FFF2-40B4-BE49-F238E27FC236}">
                  <a16:creationId xmlns:a16="http://schemas.microsoft.com/office/drawing/2014/main" id="{8A61FA0F-55F9-4CFC-9928-9B68AAC65F0D}"/>
                </a:ext>
              </a:extLst>
            </xdr:cNvPr>
            <xdr:cNvGraphicFramePr/>
          </xdr:nvGraphicFramePr>
          <xdr:xfrm>
            <a:off x="0" y="0"/>
            <a:ext cx="0" cy="0"/>
          </xdr:xfrm>
          <a:graphic>
            <a:graphicData uri="http://schemas.microsoft.com/office/drawing/2010/slicer">
              <sle:slicer xmlns:sle="http://schemas.microsoft.com/office/drawing/2010/slicer" name="Current Engagement Frequency"/>
            </a:graphicData>
          </a:graphic>
        </xdr:graphicFrame>
      </mc:Choice>
      <mc:Fallback xmlns="">
        <xdr:sp macro="" textlink="">
          <xdr:nvSpPr>
            <xdr:cNvPr id="0" name=""/>
            <xdr:cNvSpPr>
              <a:spLocks noTextEdit="1"/>
            </xdr:cNvSpPr>
          </xdr:nvSpPr>
          <xdr:spPr>
            <a:xfrm>
              <a:off x="18320051" y="6236768"/>
              <a:ext cx="2602661" cy="14478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444500</xdr:colOff>
      <xdr:row>0</xdr:row>
      <xdr:rowOff>51878</xdr:rowOff>
    </xdr:from>
    <xdr:to>
      <xdr:col>8</xdr:col>
      <xdr:colOff>381000</xdr:colOff>
      <xdr:row>5</xdr:row>
      <xdr:rowOff>152400</xdr:rowOff>
    </xdr:to>
    <xdr:pic>
      <xdr:nvPicPr>
        <xdr:cNvPr id="2" name="Picture 1">
          <a:extLst>
            <a:ext uri="{FF2B5EF4-FFF2-40B4-BE49-F238E27FC236}">
              <a16:creationId xmlns:a16="http://schemas.microsoft.com/office/drawing/2014/main" id="{BAA10349-3C4F-4E28-9360-EEF12820C2EE}"/>
            </a:ext>
          </a:extLst>
        </xdr:cNvPr>
        <xdr:cNvPicPr>
          <a:picLocks noChangeAspect="1"/>
        </xdr:cNvPicPr>
      </xdr:nvPicPr>
      <xdr:blipFill>
        <a:blip xmlns:r="http://schemas.openxmlformats.org/officeDocument/2006/relationships" r:embed="rId4"/>
        <a:stretch>
          <a:fillRect/>
        </a:stretch>
      </xdr:blipFill>
      <xdr:spPr>
        <a:xfrm>
          <a:off x="1663700" y="51878"/>
          <a:ext cx="3441700" cy="1053022"/>
        </a:xfrm>
        <a:prstGeom prst="rect">
          <a:avLst/>
        </a:prstGeom>
      </xdr:spPr>
    </xdr:pic>
    <xdr:clientData/>
  </xdr:twoCellAnchor>
  <xdr:twoCellAnchor>
    <xdr:from>
      <xdr:col>13</xdr:col>
      <xdr:colOff>312117</xdr:colOff>
      <xdr:row>6</xdr:row>
      <xdr:rowOff>75339</xdr:rowOff>
    </xdr:from>
    <xdr:to>
      <xdr:col>52</xdr:col>
      <xdr:colOff>398220</xdr:colOff>
      <xdr:row>28</xdr:row>
      <xdr:rowOff>25400</xdr:rowOff>
    </xdr:to>
    <xdr:sp macro="" textlink="">
      <xdr:nvSpPr>
        <xdr:cNvPr id="12" name="Rectangle: Rounded Corners 11">
          <a:extLst>
            <a:ext uri="{FF2B5EF4-FFF2-40B4-BE49-F238E27FC236}">
              <a16:creationId xmlns:a16="http://schemas.microsoft.com/office/drawing/2014/main" id="{906B3FC7-9672-4E29-88BC-FD60D7AFBED2}"/>
            </a:ext>
          </a:extLst>
        </xdr:cNvPr>
        <xdr:cNvSpPr/>
      </xdr:nvSpPr>
      <xdr:spPr>
        <a:xfrm>
          <a:off x="8125846" y="1173136"/>
          <a:ext cx="12969069" cy="430895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60403</xdr:colOff>
      <xdr:row>28</xdr:row>
      <xdr:rowOff>112889</xdr:rowOff>
    </xdr:from>
    <xdr:to>
      <xdr:col>53</xdr:col>
      <xdr:colOff>197555</xdr:colOff>
      <xdr:row>29</xdr:row>
      <xdr:rowOff>58079</xdr:rowOff>
    </xdr:to>
    <xdr:sp macro="" textlink="">
      <xdr:nvSpPr>
        <xdr:cNvPr id="38" name="Rectangle 37">
          <a:extLst>
            <a:ext uri="{FF2B5EF4-FFF2-40B4-BE49-F238E27FC236}">
              <a16:creationId xmlns:a16="http://schemas.microsoft.com/office/drawing/2014/main" id="{F1C141AC-39C5-4BA5-AA65-3D0F3DF9B5C1}"/>
            </a:ext>
          </a:extLst>
        </xdr:cNvPr>
        <xdr:cNvSpPr/>
      </xdr:nvSpPr>
      <xdr:spPr>
        <a:xfrm flipH="1">
          <a:off x="60403" y="5559778"/>
          <a:ext cx="21219152" cy="128634"/>
        </a:xfrm>
        <a:prstGeom prst="rect">
          <a:avLst/>
        </a:prstGeom>
        <a:gradFill flip="none" rotWithShape="1">
          <a:gsLst>
            <a:gs pos="0">
              <a:schemeClr val="tx2">
                <a:lumMod val="75000"/>
                <a:shade val="30000"/>
                <a:satMod val="115000"/>
                <a:alpha val="0"/>
              </a:schemeClr>
            </a:gs>
            <a:gs pos="10000">
              <a:schemeClr val="tx2">
                <a:lumMod val="75000"/>
                <a:shade val="67500"/>
                <a:satMod val="115000"/>
              </a:schemeClr>
            </a:gs>
            <a:gs pos="100000">
              <a:schemeClr val="tx2">
                <a:lumMod val="75000"/>
                <a:shade val="100000"/>
                <a:satMod val="11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0</xdr:col>
      <xdr:colOff>0</xdr:colOff>
      <xdr:row>6</xdr:row>
      <xdr:rowOff>96864</xdr:rowOff>
    </xdr:from>
    <xdr:to>
      <xdr:col>13</xdr:col>
      <xdr:colOff>197555</xdr:colOff>
      <xdr:row>28</xdr:row>
      <xdr:rowOff>50800</xdr:rowOff>
    </xdr:to>
    <xdr:sp macro="" textlink="">
      <xdr:nvSpPr>
        <xdr:cNvPr id="39" name="Rectangle: Rounded Corners 38">
          <a:extLst>
            <a:ext uri="{FF2B5EF4-FFF2-40B4-BE49-F238E27FC236}">
              <a16:creationId xmlns:a16="http://schemas.microsoft.com/office/drawing/2014/main" id="{3A1B1B29-53E0-4649-8A44-72C282B83F43}"/>
            </a:ext>
          </a:extLst>
        </xdr:cNvPr>
        <xdr:cNvSpPr/>
      </xdr:nvSpPr>
      <xdr:spPr>
        <a:xfrm>
          <a:off x="0" y="1197531"/>
          <a:ext cx="7930444" cy="432838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536222</xdr:colOff>
      <xdr:row>29</xdr:row>
      <xdr:rowOff>103318</xdr:rowOff>
    </xdr:from>
    <xdr:to>
      <xdr:col>53</xdr:col>
      <xdr:colOff>226017</xdr:colOff>
      <xdr:row>52</xdr:row>
      <xdr:rowOff>161440</xdr:rowOff>
    </xdr:to>
    <xdr:sp macro="" textlink="">
      <xdr:nvSpPr>
        <xdr:cNvPr id="52" name="Rectangle: Rounded Corners 51">
          <a:extLst>
            <a:ext uri="{FF2B5EF4-FFF2-40B4-BE49-F238E27FC236}">
              <a16:creationId xmlns:a16="http://schemas.microsoft.com/office/drawing/2014/main" id="{1C082363-7EC1-406A-BE61-DC2F20EC5D8A}"/>
            </a:ext>
          </a:extLst>
        </xdr:cNvPr>
        <xdr:cNvSpPr/>
      </xdr:nvSpPr>
      <xdr:spPr>
        <a:xfrm>
          <a:off x="8349951" y="5742979"/>
          <a:ext cx="13186235" cy="4739902"/>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4594</xdr:colOff>
      <xdr:row>53</xdr:row>
      <xdr:rowOff>110350</xdr:rowOff>
    </xdr:from>
    <xdr:to>
      <xdr:col>53</xdr:col>
      <xdr:colOff>33470</xdr:colOff>
      <xdr:row>54</xdr:row>
      <xdr:rowOff>92927</xdr:rowOff>
    </xdr:to>
    <xdr:sp macro="" textlink="">
      <xdr:nvSpPr>
        <xdr:cNvPr id="53" name="Rectangle 52">
          <a:extLst>
            <a:ext uri="{FF2B5EF4-FFF2-40B4-BE49-F238E27FC236}">
              <a16:creationId xmlns:a16="http://schemas.microsoft.com/office/drawing/2014/main" id="{EFE1BB16-C676-4618-96C7-47DFF9FB4C92}"/>
            </a:ext>
          </a:extLst>
        </xdr:cNvPr>
        <xdr:cNvSpPr/>
      </xdr:nvSpPr>
      <xdr:spPr>
        <a:xfrm flipH="1">
          <a:off x="4594" y="10614757"/>
          <a:ext cx="21339045" cy="165543"/>
        </a:xfrm>
        <a:prstGeom prst="rect">
          <a:avLst/>
        </a:prstGeom>
        <a:gradFill flip="none" rotWithShape="1">
          <a:gsLst>
            <a:gs pos="0">
              <a:schemeClr val="tx2">
                <a:lumMod val="75000"/>
                <a:shade val="30000"/>
                <a:satMod val="115000"/>
                <a:alpha val="0"/>
              </a:schemeClr>
            </a:gs>
            <a:gs pos="10000">
              <a:schemeClr val="tx2">
                <a:lumMod val="75000"/>
                <a:shade val="67500"/>
                <a:satMod val="115000"/>
              </a:schemeClr>
            </a:gs>
            <a:gs pos="100000">
              <a:schemeClr val="tx2">
                <a:lumMod val="75000"/>
                <a:shade val="100000"/>
                <a:satMod val="115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0</xdr:col>
      <xdr:colOff>0</xdr:colOff>
      <xdr:row>29</xdr:row>
      <xdr:rowOff>105474</xdr:rowOff>
    </xdr:from>
    <xdr:to>
      <xdr:col>13</xdr:col>
      <xdr:colOff>451555</xdr:colOff>
      <xdr:row>53</xdr:row>
      <xdr:rowOff>14111</xdr:rowOff>
    </xdr:to>
    <xdr:sp macro="" textlink="">
      <xdr:nvSpPr>
        <xdr:cNvPr id="54" name="Rectangle: Rounded Corners 53">
          <a:extLst>
            <a:ext uri="{FF2B5EF4-FFF2-40B4-BE49-F238E27FC236}">
              <a16:creationId xmlns:a16="http://schemas.microsoft.com/office/drawing/2014/main" id="{BF349CE2-88AA-41FD-9D21-15871FCECBFA}"/>
            </a:ext>
          </a:extLst>
        </xdr:cNvPr>
        <xdr:cNvSpPr/>
      </xdr:nvSpPr>
      <xdr:spPr>
        <a:xfrm>
          <a:off x="0" y="5764030"/>
          <a:ext cx="8184444" cy="4791081"/>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96865</xdr:colOff>
      <xdr:row>8</xdr:row>
      <xdr:rowOff>75339</xdr:rowOff>
    </xdr:from>
    <xdr:to>
      <xdr:col>4</xdr:col>
      <xdr:colOff>388965</xdr:colOff>
      <xdr:row>8</xdr:row>
      <xdr:rowOff>165822</xdr:rowOff>
    </xdr:to>
    <xdr:sp macro="" textlink="">
      <xdr:nvSpPr>
        <xdr:cNvPr id="55" name="Left Arrow 3">
          <a:extLst>
            <a:ext uri="{FF2B5EF4-FFF2-40B4-BE49-F238E27FC236}">
              <a16:creationId xmlns:a16="http://schemas.microsoft.com/office/drawing/2014/main" id="{E268E519-A0B4-436F-BD47-4C4599869537}"/>
            </a:ext>
          </a:extLst>
        </xdr:cNvPr>
        <xdr:cNvSpPr/>
      </xdr:nvSpPr>
      <xdr:spPr>
        <a:xfrm>
          <a:off x="2550763" y="1549831"/>
          <a:ext cx="292100" cy="90483"/>
        </a:xfrm>
        <a:prstGeom prst="leftArrow">
          <a:avLst/>
        </a:prstGeom>
        <a:solidFill>
          <a:schemeClr val="bg2">
            <a:lumMod val="75000"/>
          </a:schemeClr>
        </a:solidFill>
        <a:ln>
          <a:solidFill>
            <a:schemeClr val="tx1">
              <a:alpha val="7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17</xdr:col>
      <xdr:colOff>139915</xdr:colOff>
      <xdr:row>8</xdr:row>
      <xdr:rowOff>96864</xdr:rowOff>
    </xdr:from>
    <xdr:to>
      <xdr:col>17</xdr:col>
      <xdr:colOff>432015</xdr:colOff>
      <xdr:row>8</xdr:row>
      <xdr:rowOff>187347</xdr:rowOff>
    </xdr:to>
    <xdr:sp macro="" textlink="">
      <xdr:nvSpPr>
        <xdr:cNvPr id="56" name="Left Arrow 3">
          <a:extLst>
            <a:ext uri="{FF2B5EF4-FFF2-40B4-BE49-F238E27FC236}">
              <a16:creationId xmlns:a16="http://schemas.microsoft.com/office/drawing/2014/main" id="{C4F99943-852D-439E-931B-74422F03A4C4}"/>
            </a:ext>
          </a:extLst>
        </xdr:cNvPr>
        <xdr:cNvSpPr/>
      </xdr:nvSpPr>
      <xdr:spPr>
        <a:xfrm>
          <a:off x="10350715" y="1620864"/>
          <a:ext cx="292100" cy="90483"/>
        </a:xfrm>
        <a:prstGeom prst="leftArrow">
          <a:avLst/>
        </a:prstGeom>
        <a:solidFill>
          <a:schemeClr val="bg2">
            <a:lumMod val="75000"/>
          </a:schemeClr>
        </a:solidFill>
        <a:ln>
          <a:solidFill>
            <a:schemeClr val="tx1">
              <a:alpha val="72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xdr:col>
      <xdr:colOff>154874</xdr:colOff>
      <xdr:row>7</xdr:row>
      <xdr:rowOff>19536</xdr:rowOff>
    </xdr:from>
    <xdr:to>
      <xdr:col>12</xdr:col>
      <xdr:colOff>278699</xdr:colOff>
      <xdr:row>25</xdr:row>
      <xdr:rowOff>62918</xdr:rowOff>
    </xdr:to>
    <xdr:grpSp>
      <xdr:nvGrpSpPr>
        <xdr:cNvPr id="59" name="Group 58">
          <a:extLst>
            <a:ext uri="{FF2B5EF4-FFF2-40B4-BE49-F238E27FC236}">
              <a16:creationId xmlns:a16="http://schemas.microsoft.com/office/drawing/2014/main" id="{60B155E2-AD90-4D78-B985-6F981C67C73A}"/>
            </a:ext>
          </a:extLst>
        </xdr:cNvPr>
        <xdr:cNvGrpSpPr/>
      </xdr:nvGrpSpPr>
      <xdr:grpSpPr>
        <a:xfrm>
          <a:off x="768349" y="1375638"/>
          <a:ext cx="6694460" cy="3740373"/>
          <a:chOff x="768349" y="1300299"/>
          <a:chExt cx="6710604" cy="3541263"/>
        </a:xfrm>
      </xdr:grpSpPr>
      <xdr:grpSp>
        <xdr:nvGrpSpPr>
          <xdr:cNvPr id="18" name="Group 17">
            <a:extLst>
              <a:ext uri="{FF2B5EF4-FFF2-40B4-BE49-F238E27FC236}">
                <a16:creationId xmlns:a16="http://schemas.microsoft.com/office/drawing/2014/main" id="{57323322-F5D2-4C11-B87F-C7EC018A920C}"/>
              </a:ext>
            </a:extLst>
          </xdr:cNvPr>
          <xdr:cNvGrpSpPr/>
        </xdr:nvGrpSpPr>
        <xdr:grpSpPr>
          <a:xfrm>
            <a:off x="768349" y="1300299"/>
            <a:ext cx="6710604" cy="3541263"/>
            <a:chOff x="704849" y="1114425"/>
            <a:chExt cx="6648450" cy="3477133"/>
          </a:xfrm>
        </xdr:grpSpPr>
        <xdr:graphicFrame macro="">
          <xdr:nvGraphicFramePr>
            <xdr:cNvPr id="5" name="Chart 4">
              <a:extLst>
                <a:ext uri="{FF2B5EF4-FFF2-40B4-BE49-F238E27FC236}">
                  <a16:creationId xmlns:a16="http://schemas.microsoft.com/office/drawing/2014/main" id="{FEAAE82F-A82B-4278-8D7F-E8D6AF7B6DCE}"/>
                </a:ext>
              </a:extLst>
            </xdr:cNvPr>
            <xdr:cNvGraphicFramePr>
              <a:graphicFrameLocks/>
            </xdr:cNvGraphicFramePr>
          </xdr:nvGraphicFramePr>
          <xdr:xfrm>
            <a:off x="704849" y="1114425"/>
            <a:ext cx="6648450" cy="3038475"/>
          </xdr:xfrm>
          <a:graphic>
            <a:graphicData uri="http://schemas.openxmlformats.org/drawingml/2006/chart">
              <c:chart xmlns:c="http://schemas.openxmlformats.org/drawingml/2006/chart" xmlns:r="http://schemas.openxmlformats.org/officeDocument/2006/relationships" r:id="rId5"/>
            </a:graphicData>
          </a:graphic>
        </xdr:graphicFrame>
        <xdr:pic>
          <xdr:nvPicPr>
            <xdr:cNvPr id="17" name="Graphic 16" descr="Smiling face with solid fill">
              <a:extLst>
                <a:ext uri="{FF2B5EF4-FFF2-40B4-BE49-F238E27FC236}">
                  <a16:creationId xmlns:a16="http://schemas.microsoft.com/office/drawing/2014/main" id="{3F32D697-BB7B-4B56-8286-DAC0CE75F95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707377" y="4022523"/>
              <a:ext cx="552618" cy="547683"/>
            </a:xfrm>
            <a:prstGeom prst="rect">
              <a:avLst/>
            </a:prstGeom>
          </xdr:spPr>
        </xdr:pic>
        <xdr:pic>
          <xdr:nvPicPr>
            <xdr:cNvPr id="19" name="Graphic 18" descr="Angel face with solid fill">
              <a:extLst>
                <a:ext uri="{FF2B5EF4-FFF2-40B4-BE49-F238E27FC236}">
                  <a16:creationId xmlns:a16="http://schemas.microsoft.com/office/drawing/2014/main" id="{399E4D3E-C6AD-46BF-B288-B796F82B772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485776" y="4045270"/>
              <a:ext cx="545323" cy="545323"/>
            </a:xfrm>
            <a:prstGeom prst="rect">
              <a:avLst/>
            </a:prstGeom>
          </xdr:spPr>
        </xdr:pic>
        <xdr:pic>
          <xdr:nvPicPr>
            <xdr:cNvPr id="31" name="Graphic 30" descr="Neutral face with solid fill">
              <a:extLst>
                <a:ext uri="{FF2B5EF4-FFF2-40B4-BE49-F238E27FC236}">
                  <a16:creationId xmlns:a16="http://schemas.microsoft.com/office/drawing/2014/main" id="{18891CE3-ED92-439F-A869-7B7B48A0D3B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956291" y="4043875"/>
              <a:ext cx="552618" cy="547683"/>
            </a:xfrm>
            <a:prstGeom prst="rect">
              <a:avLst/>
            </a:prstGeom>
          </xdr:spPr>
        </xdr:pic>
      </xdr:grpSp>
      <xdr:pic>
        <xdr:nvPicPr>
          <xdr:cNvPr id="30" name="Graphic 29" descr="Sad face with solid fill">
            <a:extLst>
              <a:ext uri="{FF2B5EF4-FFF2-40B4-BE49-F238E27FC236}">
                <a16:creationId xmlns:a16="http://schemas.microsoft.com/office/drawing/2014/main" id="{980284D4-AB73-4609-8FEA-4D7AE5B3624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316780" y="4251272"/>
            <a:ext cx="557784" cy="557784"/>
          </a:xfrm>
          <a:prstGeom prst="rect">
            <a:avLst/>
          </a:prstGeom>
        </xdr:spPr>
      </xdr:pic>
      <xdr:pic>
        <xdr:nvPicPr>
          <xdr:cNvPr id="58" name="Graphic 57" descr="Crying face with solid fill">
            <a:extLst>
              <a:ext uri="{FF2B5EF4-FFF2-40B4-BE49-F238E27FC236}">
                <a16:creationId xmlns:a16="http://schemas.microsoft.com/office/drawing/2014/main" id="{EBEDD1EE-AAF2-4B10-B4B5-B45209219F3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500678" y="4240509"/>
            <a:ext cx="557784" cy="557784"/>
          </a:xfrm>
          <a:prstGeom prst="rect">
            <a:avLst/>
          </a:prstGeom>
        </xdr:spPr>
      </xdr:pic>
    </xdr:grpSp>
    <xdr:clientData/>
  </xdr:twoCellAnchor>
  <xdr:twoCellAnchor>
    <xdr:from>
      <xdr:col>35</xdr:col>
      <xdr:colOff>0</xdr:colOff>
      <xdr:row>24</xdr:row>
      <xdr:rowOff>0</xdr:rowOff>
    </xdr:from>
    <xdr:to>
      <xdr:col>36</xdr:col>
      <xdr:colOff>558249</xdr:colOff>
      <xdr:row>25</xdr:row>
      <xdr:rowOff>24848</xdr:rowOff>
    </xdr:to>
    <xdr:sp macro="" textlink="">
      <xdr:nvSpPr>
        <xdr:cNvPr id="47" name="TextBox 46">
          <a:extLst>
            <a:ext uri="{FF2B5EF4-FFF2-40B4-BE49-F238E27FC236}">
              <a16:creationId xmlns:a16="http://schemas.microsoft.com/office/drawing/2014/main" id="{B524034C-21B5-4AF4-925D-87C6F912067C}"/>
            </a:ext>
          </a:extLst>
        </xdr:cNvPr>
        <xdr:cNvSpPr txBox="1"/>
      </xdr:nvSpPr>
      <xdr:spPr>
        <a:xfrm>
          <a:off x="7315200" y="6096000"/>
          <a:ext cx="1167849"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t> </a:t>
          </a:r>
        </a:p>
      </xdr:txBody>
    </xdr:sp>
    <xdr:clientData/>
  </xdr:twoCellAnchor>
  <xdr:twoCellAnchor>
    <xdr:from>
      <xdr:col>37</xdr:col>
      <xdr:colOff>588064</xdr:colOff>
      <xdr:row>22</xdr:row>
      <xdr:rowOff>74545</xdr:rowOff>
    </xdr:from>
    <xdr:to>
      <xdr:col>39</xdr:col>
      <xdr:colOff>530087</xdr:colOff>
      <xdr:row>23</xdr:row>
      <xdr:rowOff>99393</xdr:rowOff>
    </xdr:to>
    <xdr:sp macro="" textlink="$B$2">
      <xdr:nvSpPr>
        <xdr:cNvPr id="144" name="TextBox 143">
          <a:extLst>
            <a:ext uri="{FF2B5EF4-FFF2-40B4-BE49-F238E27FC236}">
              <a16:creationId xmlns:a16="http://schemas.microsoft.com/office/drawing/2014/main" id="{3BB6EDD4-B1B9-4C98-BF02-F9387BDAFF24}"/>
            </a:ext>
          </a:extLst>
        </xdr:cNvPr>
        <xdr:cNvSpPr txBox="1"/>
      </xdr:nvSpPr>
      <xdr:spPr>
        <a:xfrm>
          <a:off x="9122464" y="5789545"/>
          <a:ext cx="1161223"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DF338E1-69CC-4BEB-8C39-1A1D5188DFBF}" type="TxLink">
            <a:rPr lang="en-US" sz="1000" b="0" i="0" u="none" strike="noStrike">
              <a:solidFill>
                <a:srgbClr val="000000"/>
              </a:solidFill>
              <a:latin typeface="Arial Rounded MT Bold"/>
              <a:cs typeface="Calibri"/>
            </a:rPr>
            <a:pPr algn="ctr"/>
            <a:t> </a:t>
          </a:fld>
          <a:endParaRPr lang="en-US" sz="1100"/>
        </a:p>
      </xdr:txBody>
    </xdr:sp>
    <xdr:clientData/>
  </xdr:twoCellAnchor>
  <xdr:twoCellAnchor>
    <xdr:from>
      <xdr:col>12</xdr:col>
      <xdr:colOff>336859</xdr:colOff>
      <xdr:row>10</xdr:row>
      <xdr:rowOff>127774</xdr:rowOff>
    </xdr:from>
    <xdr:to>
      <xdr:col>38</xdr:col>
      <xdr:colOff>185854</xdr:colOff>
      <xdr:row>25</xdr:row>
      <xdr:rowOff>81310</xdr:rowOff>
    </xdr:to>
    <xdr:graphicFrame macro="">
      <xdr:nvGraphicFramePr>
        <xdr:cNvPr id="146" name="Chart 145">
          <a:extLst>
            <a:ext uri="{FF2B5EF4-FFF2-40B4-BE49-F238E27FC236}">
              <a16:creationId xmlns:a16="http://schemas.microsoft.com/office/drawing/2014/main" id="{36AF5759-F03F-45A7-8D19-F17CA2BEDA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290396</xdr:colOff>
      <xdr:row>16</xdr:row>
      <xdr:rowOff>11616</xdr:rowOff>
    </xdr:from>
    <xdr:to>
      <xdr:col>17</xdr:col>
      <xdr:colOff>162622</xdr:colOff>
      <xdr:row>19</xdr:row>
      <xdr:rowOff>104543</xdr:rowOff>
    </xdr:to>
    <xdr:sp macro="" textlink="'Pivot(ratings)'!M11">
      <xdr:nvSpPr>
        <xdr:cNvPr id="3" name="TextBox 2">
          <a:extLst>
            <a:ext uri="{FF2B5EF4-FFF2-40B4-BE49-F238E27FC236}">
              <a16:creationId xmlns:a16="http://schemas.microsoft.com/office/drawing/2014/main" id="{CEA36F4C-0530-4AAE-8841-50BA0AB8AE0B}"/>
            </a:ext>
          </a:extLst>
        </xdr:cNvPr>
        <xdr:cNvSpPr txBox="1"/>
      </xdr:nvSpPr>
      <xdr:spPr>
        <a:xfrm>
          <a:off x="9176524" y="3182744"/>
          <a:ext cx="1080275" cy="650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22DC16-887F-420C-B770-3B80E2641AC5}" type="TxLink">
            <a:rPr lang="en-US" sz="3000" b="0" i="0" u="none" strike="noStrike">
              <a:solidFill>
                <a:schemeClr val="accent1">
                  <a:lumMod val="75000"/>
                </a:schemeClr>
              </a:solidFill>
              <a:latin typeface="Impact" panose="020B0806030902050204" pitchFamily="34" charset="0"/>
              <a:cs typeface="Calibri"/>
            </a:rPr>
            <a:pPr algn="ctr"/>
            <a:t>45%</a:t>
          </a:fld>
          <a:endParaRPr lang="en-US" sz="3000">
            <a:solidFill>
              <a:schemeClr val="accent1">
                <a:lumMod val="75000"/>
              </a:schemeClr>
            </a:solidFill>
            <a:latin typeface="Impact" panose="020B0806030902050204" pitchFamily="34" charset="0"/>
          </a:endParaRPr>
        </a:p>
      </xdr:txBody>
    </xdr:sp>
    <xdr:clientData/>
  </xdr:twoCellAnchor>
  <xdr:twoCellAnchor>
    <xdr:from>
      <xdr:col>43</xdr:col>
      <xdr:colOff>587319</xdr:colOff>
      <xdr:row>29</xdr:row>
      <xdr:rowOff>163285</xdr:rowOff>
    </xdr:from>
    <xdr:to>
      <xdr:col>47</xdr:col>
      <xdr:colOff>307819</xdr:colOff>
      <xdr:row>50</xdr:row>
      <xdr:rowOff>101898</xdr:rowOff>
    </xdr:to>
    <xdr:grpSp>
      <xdr:nvGrpSpPr>
        <xdr:cNvPr id="150" name="Group 149">
          <a:extLst>
            <a:ext uri="{FF2B5EF4-FFF2-40B4-BE49-F238E27FC236}">
              <a16:creationId xmlns:a16="http://schemas.microsoft.com/office/drawing/2014/main" id="{4CA4479F-6A5F-4903-B473-C75890B5F6B6}"/>
            </a:ext>
          </a:extLst>
        </xdr:cNvPr>
        <xdr:cNvGrpSpPr/>
      </xdr:nvGrpSpPr>
      <xdr:grpSpPr>
        <a:xfrm>
          <a:off x="15746599" y="6088158"/>
          <a:ext cx="2174398" cy="4249079"/>
          <a:chOff x="11087100" y="537063"/>
          <a:chExt cx="2137020" cy="4892187"/>
        </a:xfrm>
      </xdr:grpSpPr>
      <xdr:grpSp>
        <xdr:nvGrpSpPr>
          <xdr:cNvPr id="151" name="Group 150">
            <a:extLst>
              <a:ext uri="{FF2B5EF4-FFF2-40B4-BE49-F238E27FC236}">
                <a16:creationId xmlns:a16="http://schemas.microsoft.com/office/drawing/2014/main" id="{EC13817B-F8CF-4091-A754-6EFE27ED695D}"/>
              </a:ext>
            </a:extLst>
          </xdr:cNvPr>
          <xdr:cNvGrpSpPr/>
        </xdr:nvGrpSpPr>
        <xdr:grpSpPr>
          <a:xfrm>
            <a:off x="11087100" y="1524000"/>
            <a:ext cx="2085976" cy="3905250"/>
            <a:chOff x="8315325" y="390525"/>
            <a:chExt cx="2562226" cy="5000625"/>
          </a:xfrm>
        </xdr:grpSpPr>
        <xdr:sp macro="" textlink="">
          <xdr:nvSpPr>
            <xdr:cNvPr id="154" name="Rectangle 153">
              <a:extLst>
                <a:ext uri="{FF2B5EF4-FFF2-40B4-BE49-F238E27FC236}">
                  <a16:creationId xmlns:a16="http://schemas.microsoft.com/office/drawing/2014/main" id="{133722A1-6E5B-4149-8C21-6A85A7CA7F56}"/>
                </a:ext>
              </a:extLst>
            </xdr:cNvPr>
            <xdr:cNvSpPr/>
          </xdr:nvSpPr>
          <xdr:spPr>
            <a:xfrm>
              <a:off x="8315326" y="1057275"/>
              <a:ext cx="2562225" cy="4010026"/>
            </a:xfrm>
            <a:prstGeom prst="rect">
              <a:avLst/>
            </a:prstGeom>
            <a:gradFill flip="none" rotWithShape="1">
              <a:gsLst>
                <a:gs pos="0">
                  <a:schemeClr val="tx2">
                    <a:lumMod val="75000"/>
                    <a:shade val="30000"/>
                    <a:satMod val="115000"/>
                    <a:alpha val="40000"/>
                  </a:schemeClr>
                </a:gs>
                <a:gs pos="70000">
                  <a:schemeClr val="bg1">
                    <a:alpha val="20000"/>
                  </a:schemeClr>
                </a:gs>
                <a:gs pos="90000">
                  <a:schemeClr val="bg1">
                    <a:alpha val="20000"/>
                  </a:schemeClr>
                </a:gs>
                <a:gs pos="80000">
                  <a:srgbClr val="2F3D4F">
                    <a:alpha val="40000"/>
                  </a:srgbClr>
                </a:gs>
                <a:gs pos="10000">
                  <a:schemeClr val="bg1">
                    <a:alpha val="20000"/>
                  </a:schemeClr>
                </a:gs>
                <a:gs pos="100000">
                  <a:schemeClr val="tx2">
                    <a:lumMod val="75000"/>
                    <a:shade val="100000"/>
                    <a:satMod val="115000"/>
                    <a:alpha val="40000"/>
                  </a:scheme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a:p>
          </xdr:txBody>
        </xdr:sp>
        <xdr:sp macro="" textlink="">
          <xdr:nvSpPr>
            <xdr:cNvPr id="155" name="Rectangle 154">
              <a:extLst>
                <a:ext uri="{FF2B5EF4-FFF2-40B4-BE49-F238E27FC236}">
                  <a16:creationId xmlns:a16="http://schemas.microsoft.com/office/drawing/2014/main" id="{D35F3BD0-A32B-45CA-8AF4-A8DCA6A9D465}"/>
                </a:ext>
              </a:extLst>
            </xdr:cNvPr>
            <xdr:cNvSpPr/>
          </xdr:nvSpPr>
          <xdr:spPr>
            <a:xfrm>
              <a:off x="8315325" y="723900"/>
              <a:ext cx="2562225" cy="333375"/>
            </a:xfrm>
            <a:prstGeom prst="rect">
              <a:avLst/>
            </a:prstGeom>
            <a:gradFill flip="none" rotWithShape="1">
              <a:gsLst>
                <a:gs pos="0">
                  <a:schemeClr val="bg1">
                    <a:lumMod val="75000"/>
                  </a:schemeClr>
                </a:gs>
                <a:gs pos="90000">
                  <a:schemeClr val="bg1">
                    <a:lumMod val="75000"/>
                  </a:schemeClr>
                </a:gs>
                <a:gs pos="80000">
                  <a:schemeClr val="bg1"/>
                </a:gs>
                <a:gs pos="10000">
                  <a:schemeClr val="bg1"/>
                </a:gs>
                <a:gs pos="100000">
                  <a:schemeClr val="bg1"/>
                </a:gs>
              </a:gsLst>
              <a:lin ang="0" scaled="1"/>
              <a:tileRect/>
            </a:gradFill>
            <a:ln w="12700" cap="flat" cmpd="sng" algn="ctr">
              <a:noFill/>
              <a:prstDash val="solid"/>
              <a:miter lim="800000"/>
            </a:ln>
            <a:effectLst>
              <a:outerShdw blurRad="381000" dist="38100" dir="5400000" algn="t" rotWithShape="0">
                <a:prstClr val="black">
                  <a:alpha val="40000"/>
                </a:prst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56" name="Rectangle 155">
              <a:extLst>
                <a:ext uri="{FF2B5EF4-FFF2-40B4-BE49-F238E27FC236}">
                  <a16:creationId xmlns:a16="http://schemas.microsoft.com/office/drawing/2014/main" id="{EAA06BA9-0FB5-4F03-84B2-10D7F15AA520}"/>
                </a:ext>
              </a:extLst>
            </xdr:cNvPr>
            <xdr:cNvSpPr/>
          </xdr:nvSpPr>
          <xdr:spPr>
            <a:xfrm>
              <a:off x="8315325" y="5057775"/>
              <a:ext cx="2562225" cy="333375"/>
            </a:xfrm>
            <a:prstGeom prst="rect">
              <a:avLst/>
            </a:prstGeom>
            <a:gradFill flip="none" rotWithShape="1">
              <a:gsLst>
                <a:gs pos="0">
                  <a:sysClr val="window" lastClr="FFFFFF">
                    <a:lumMod val="75000"/>
                  </a:sysClr>
                </a:gs>
                <a:gs pos="90000">
                  <a:sysClr val="window" lastClr="FFFFFF">
                    <a:lumMod val="75000"/>
                  </a:sysClr>
                </a:gs>
                <a:gs pos="80000">
                  <a:sysClr val="window" lastClr="FFFFFF"/>
                </a:gs>
                <a:gs pos="10000">
                  <a:sysClr val="window" lastClr="FFFFFF"/>
                </a:gs>
                <a:gs pos="100000">
                  <a:sysClr val="window" lastClr="FFFFFF"/>
                </a:gs>
              </a:gsLst>
              <a:lin ang="0" scaled="1"/>
              <a:tileRect/>
            </a:gradFill>
            <a:ln w="12700" cap="flat" cmpd="sng" algn="ctr">
              <a:noFill/>
              <a:prstDash val="solid"/>
              <a:miter lim="800000"/>
            </a:ln>
            <a:effectLst>
              <a:outerShdw blurRad="381000" dist="38100" dir="5400000" algn="t" rotWithShape="0">
                <a:prstClr val="black">
                  <a:alpha val="40000"/>
                </a:prst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157" name="Rectangle 156">
              <a:extLst>
                <a:ext uri="{FF2B5EF4-FFF2-40B4-BE49-F238E27FC236}">
                  <a16:creationId xmlns:a16="http://schemas.microsoft.com/office/drawing/2014/main" id="{AE03A2D0-A88A-4787-8236-FF9EA7FCFB3A}"/>
                </a:ext>
              </a:extLst>
            </xdr:cNvPr>
            <xdr:cNvSpPr/>
          </xdr:nvSpPr>
          <xdr:spPr>
            <a:xfrm>
              <a:off x="8715375" y="390525"/>
              <a:ext cx="1828800" cy="333375"/>
            </a:xfrm>
            <a:prstGeom prst="rect">
              <a:avLst/>
            </a:prstGeom>
            <a:gradFill flip="none" rotWithShape="1">
              <a:gsLst>
                <a:gs pos="0">
                  <a:sysClr val="window" lastClr="FFFFFF">
                    <a:lumMod val="75000"/>
                  </a:sysClr>
                </a:gs>
                <a:gs pos="90000">
                  <a:sysClr val="window" lastClr="FFFFFF">
                    <a:lumMod val="75000"/>
                  </a:sysClr>
                </a:gs>
                <a:gs pos="80000">
                  <a:sysClr val="window" lastClr="FFFFFF"/>
                </a:gs>
                <a:gs pos="10000">
                  <a:sysClr val="window" lastClr="FFFFFF"/>
                </a:gs>
                <a:gs pos="100000">
                  <a:sysClr val="window" lastClr="FFFFFF"/>
                </a:gs>
              </a:gsLst>
              <a:lin ang="0" scaled="1"/>
              <a:tileRect/>
            </a:gradFill>
            <a:ln w="12700" cap="flat" cmpd="sng" algn="ctr">
              <a:noFill/>
              <a:prstDash val="solid"/>
              <a:miter lim="800000"/>
            </a:ln>
            <a:effectLst>
              <a:outerShdw blurRad="381000" dist="38100" dir="5400000" algn="t" rotWithShape="0">
                <a:prstClr val="black">
                  <a:alpha val="40000"/>
                </a:prst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grpSp>
      <xdr:sp macro="" textlink="'Pivot(connect)'!P5">
        <xdr:nvSpPr>
          <xdr:cNvPr id="152" name="TextBox 151">
            <a:extLst>
              <a:ext uri="{FF2B5EF4-FFF2-40B4-BE49-F238E27FC236}">
                <a16:creationId xmlns:a16="http://schemas.microsoft.com/office/drawing/2014/main" id="{C1ECD7EE-71D3-46A0-917B-BC74F323598D}"/>
              </a:ext>
            </a:extLst>
          </xdr:cNvPr>
          <xdr:cNvSpPr txBox="1"/>
        </xdr:nvSpPr>
        <xdr:spPr>
          <a:xfrm>
            <a:off x="11109570" y="537063"/>
            <a:ext cx="2114550" cy="740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E0E1A1-A6D5-4CC4-B3B5-EA2F8D95C3E8}" type="TxLink">
              <a:rPr lang="en-US" sz="3200" b="0" i="0" u="none" strike="noStrike">
                <a:solidFill>
                  <a:schemeClr val="accent2"/>
                </a:solidFill>
                <a:latin typeface="Impact" panose="020B0806030902050204" pitchFamily="34" charset="0"/>
                <a:cs typeface="Calibri"/>
              </a:rPr>
              <a:pPr algn="ctr"/>
              <a:t>22%</a:t>
            </a:fld>
            <a:endParaRPr lang="en-US" sz="3200">
              <a:solidFill>
                <a:schemeClr val="accent2"/>
              </a:solidFill>
              <a:latin typeface="Impact" panose="020B0806030902050204" pitchFamily="34" charset="0"/>
            </a:endParaRPr>
          </a:p>
        </xdr:txBody>
      </xdr:sp>
      <xdr:sp macro="" textlink="'Pivot(connect)'!O5">
        <xdr:nvSpPr>
          <xdr:cNvPr id="153" name="TextBox 152">
            <a:extLst>
              <a:ext uri="{FF2B5EF4-FFF2-40B4-BE49-F238E27FC236}">
                <a16:creationId xmlns:a16="http://schemas.microsoft.com/office/drawing/2014/main" id="{CD88B02F-F678-4A28-B608-6112B43E0C7D}"/>
              </a:ext>
            </a:extLst>
          </xdr:cNvPr>
          <xdr:cNvSpPr txBox="1"/>
        </xdr:nvSpPr>
        <xdr:spPr>
          <a:xfrm>
            <a:off x="11115675" y="5162550"/>
            <a:ext cx="19907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3A186E-3B49-49FC-A8AC-D8A186EE87E4}" type="TxLink">
              <a:rPr lang="en-US" sz="2000" b="1" i="0" u="none" strike="noStrike">
                <a:solidFill>
                  <a:srgbClr val="000000"/>
                </a:solidFill>
                <a:latin typeface="Calibri"/>
                <a:cs typeface="Calibri"/>
              </a:rPr>
              <a:pPr algn="ctr"/>
              <a:t>Monthly</a:t>
            </a:fld>
            <a:endParaRPr lang="en-US" sz="2000" b="1">
              <a:solidFill>
                <a:srgbClr val="66FFFF"/>
              </a:solidFill>
              <a:latin typeface="Impact" panose="020B0806030902050204" pitchFamily="34" charset="0"/>
            </a:endParaRPr>
          </a:p>
        </xdr:txBody>
      </xdr:sp>
    </xdr:grpSp>
    <xdr:clientData/>
  </xdr:twoCellAnchor>
  <xdr:twoCellAnchor>
    <xdr:from>
      <xdr:col>43</xdr:col>
      <xdr:colOff>371708</xdr:colOff>
      <xdr:row>33</xdr:row>
      <xdr:rowOff>399141</xdr:rowOff>
    </xdr:from>
    <xdr:to>
      <xdr:col>47</xdr:col>
      <xdr:colOff>403535</xdr:colOff>
      <xdr:row>49</xdr:row>
      <xdr:rowOff>239888</xdr:rowOff>
    </xdr:to>
    <xdr:graphicFrame macro="">
      <xdr:nvGraphicFramePr>
        <xdr:cNvPr id="158" name="Chart 157">
          <a:extLst>
            <a:ext uri="{FF2B5EF4-FFF2-40B4-BE49-F238E27FC236}">
              <a16:creationId xmlns:a16="http://schemas.microsoft.com/office/drawing/2014/main" id="{B63C88D6-BFF9-451D-8814-F5403660E8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38</xdr:col>
      <xdr:colOff>367173</xdr:colOff>
      <xdr:row>8</xdr:row>
      <xdr:rowOff>76789</xdr:rowOff>
    </xdr:from>
    <xdr:to>
      <xdr:col>49</xdr:col>
      <xdr:colOff>391596</xdr:colOff>
      <xdr:row>25</xdr:row>
      <xdr:rowOff>64577</xdr:rowOff>
    </xdr:to>
    <xdr:graphicFrame macro="">
      <xdr:nvGraphicFramePr>
        <xdr:cNvPr id="48" name="Chart 47">
          <a:extLst>
            <a:ext uri="{FF2B5EF4-FFF2-40B4-BE49-F238E27FC236}">
              <a16:creationId xmlns:a16="http://schemas.microsoft.com/office/drawing/2014/main" id="{029EDF05-7339-4389-9BB0-31BDC4F129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28</xdr:row>
      <xdr:rowOff>145297</xdr:rowOff>
    </xdr:from>
    <xdr:to>
      <xdr:col>13</xdr:col>
      <xdr:colOff>435889</xdr:colOff>
      <xdr:row>52</xdr:row>
      <xdr:rowOff>161442</xdr:rowOff>
    </xdr:to>
    <xdr:graphicFrame macro="">
      <xdr:nvGraphicFramePr>
        <xdr:cNvPr id="42" name="Chart 41">
          <a:extLst>
            <a:ext uri="{FF2B5EF4-FFF2-40B4-BE49-F238E27FC236}">
              <a16:creationId xmlns:a16="http://schemas.microsoft.com/office/drawing/2014/main" id="{EA2D224B-4140-4CC4-9590-F726A14486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9</xdr:col>
      <xdr:colOff>532756</xdr:colOff>
      <xdr:row>30</xdr:row>
      <xdr:rowOff>48431</xdr:rowOff>
    </xdr:from>
    <xdr:to>
      <xdr:col>13</xdr:col>
      <xdr:colOff>48433</xdr:colOff>
      <xdr:row>35</xdr:row>
      <xdr:rowOff>32287</xdr:rowOff>
    </xdr:to>
    <mc:AlternateContent xmlns:mc="http://schemas.openxmlformats.org/markup-compatibility/2006" xmlns:a14="http://schemas.microsoft.com/office/drawing/2010/main">
      <mc:Choice Requires="a14">
        <xdr:graphicFrame macro="">
          <xdr:nvGraphicFramePr>
            <xdr:cNvPr id="62" name="Strongly Disagree/Disagree">
              <a:extLst>
                <a:ext uri="{FF2B5EF4-FFF2-40B4-BE49-F238E27FC236}">
                  <a16:creationId xmlns:a16="http://schemas.microsoft.com/office/drawing/2014/main" id="{C484F773-0290-46CE-85F3-8952DC98B729}"/>
                </a:ext>
              </a:extLst>
            </xdr:cNvPr>
            <xdr:cNvGraphicFramePr/>
          </xdr:nvGraphicFramePr>
          <xdr:xfrm>
            <a:off x="0" y="0"/>
            <a:ext cx="0" cy="0"/>
          </xdr:xfrm>
          <a:graphic>
            <a:graphicData uri="http://schemas.microsoft.com/office/drawing/2010/slicer">
              <sle:slicer xmlns:sle="http://schemas.microsoft.com/office/drawing/2010/slicer" name="Strongly Disagree/Disagree"/>
            </a:graphicData>
          </a:graphic>
        </xdr:graphicFrame>
      </mc:Choice>
      <mc:Fallback xmlns="">
        <xdr:sp macro="" textlink="">
          <xdr:nvSpPr>
            <xdr:cNvPr id="0" name=""/>
            <xdr:cNvSpPr>
              <a:spLocks noTextEdit="1"/>
            </xdr:cNvSpPr>
          </xdr:nvSpPr>
          <xdr:spPr>
            <a:xfrm>
              <a:off x="5876442" y="6167033"/>
              <a:ext cx="1969576" cy="11946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571500</xdr:colOff>
      <xdr:row>29</xdr:row>
      <xdr:rowOff>152400</xdr:rowOff>
    </xdr:from>
    <xdr:to>
      <xdr:col>27</xdr:col>
      <xdr:colOff>571500</xdr:colOff>
      <xdr:row>43</xdr:row>
      <xdr:rowOff>9525</xdr:rowOff>
    </xdr:to>
    <mc:AlternateContent xmlns:mc="http://schemas.openxmlformats.org/markup-compatibility/2006" xmlns:a14="http://schemas.microsoft.com/office/drawing/2010/main">
      <mc:Choice Requires="a14">
        <xdr:graphicFrame macro="">
          <xdr:nvGraphicFramePr>
            <xdr:cNvPr id="2" name="Audience Name">
              <a:extLst>
                <a:ext uri="{FF2B5EF4-FFF2-40B4-BE49-F238E27FC236}">
                  <a16:creationId xmlns:a16="http://schemas.microsoft.com/office/drawing/2014/main" id="{B828E647-4DAE-4C04-AA02-A3429E604B21}"/>
                </a:ext>
              </a:extLst>
            </xdr:cNvPr>
            <xdr:cNvGraphicFramePr/>
          </xdr:nvGraphicFramePr>
          <xdr:xfrm>
            <a:off x="0" y="0"/>
            <a:ext cx="0" cy="0"/>
          </xdr:xfrm>
          <a:graphic>
            <a:graphicData uri="http://schemas.microsoft.com/office/drawing/2010/slicer">
              <sle:slicer xmlns:sle="http://schemas.microsoft.com/office/drawing/2010/slicer" name="Audience Name"/>
            </a:graphicData>
          </a:graphic>
        </xdr:graphicFrame>
      </mc:Choice>
      <mc:Fallback xmlns="">
        <xdr:sp macro="" textlink="">
          <xdr:nvSpPr>
            <xdr:cNvPr id="0" name=""/>
            <xdr:cNvSpPr>
              <a:spLocks noTextEdit="1"/>
            </xdr:cNvSpPr>
          </xdr:nvSpPr>
          <xdr:spPr>
            <a:xfrm>
              <a:off x="17421225" y="5676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29</xdr:row>
      <xdr:rowOff>0</xdr:rowOff>
    </xdr:from>
    <xdr:to>
      <xdr:col>6</xdr:col>
      <xdr:colOff>558249</xdr:colOff>
      <xdr:row>30</xdr:row>
      <xdr:rowOff>24848</xdr:rowOff>
    </xdr:to>
    <xdr:sp macro="" textlink="">
      <xdr:nvSpPr>
        <xdr:cNvPr id="4" name="TextBox 3">
          <a:extLst>
            <a:ext uri="{FF2B5EF4-FFF2-40B4-BE49-F238E27FC236}">
              <a16:creationId xmlns:a16="http://schemas.microsoft.com/office/drawing/2014/main" id="{1D5B24ED-8BA8-4073-9E7C-63C7A5BF89D1}"/>
            </a:ext>
          </a:extLst>
        </xdr:cNvPr>
        <xdr:cNvSpPr txBox="1"/>
      </xdr:nvSpPr>
      <xdr:spPr>
        <a:xfrm>
          <a:off x="7315200" y="6096000"/>
          <a:ext cx="1167849"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t> </a:t>
          </a:r>
        </a:p>
      </xdr:txBody>
    </xdr:sp>
    <xdr:clientData/>
  </xdr:twoCellAnchor>
  <xdr:twoCellAnchor>
    <xdr:from>
      <xdr:col>7</xdr:col>
      <xdr:colOff>588064</xdr:colOff>
      <xdr:row>27</xdr:row>
      <xdr:rowOff>74545</xdr:rowOff>
    </xdr:from>
    <xdr:to>
      <xdr:col>9</xdr:col>
      <xdr:colOff>530087</xdr:colOff>
      <xdr:row>28</xdr:row>
      <xdr:rowOff>99393</xdr:rowOff>
    </xdr:to>
    <xdr:sp macro="" textlink="$B$2">
      <xdr:nvSpPr>
        <xdr:cNvPr id="92" name="TextBox 91">
          <a:extLst>
            <a:ext uri="{FF2B5EF4-FFF2-40B4-BE49-F238E27FC236}">
              <a16:creationId xmlns:a16="http://schemas.microsoft.com/office/drawing/2014/main" id="{AFCF8AD5-E695-4604-B1BB-B0F0EDB490C7}"/>
            </a:ext>
          </a:extLst>
        </xdr:cNvPr>
        <xdr:cNvSpPr txBox="1"/>
      </xdr:nvSpPr>
      <xdr:spPr>
        <a:xfrm>
          <a:off x="9122464" y="5789545"/>
          <a:ext cx="1161223"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DF338E1-69CC-4BEB-8C39-1A1D5188DFBF}" type="TxLink">
            <a:rPr lang="en-US" sz="1000" b="0" i="0" u="none" strike="noStrike">
              <a:solidFill>
                <a:srgbClr val="000000"/>
              </a:solidFill>
              <a:latin typeface="Arial Rounded MT Bold"/>
              <a:cs typeface="Calibri"/>
            </a:rPr>
            <a:pPr algn="ctr"/>
            <a:t> </a:t>
          </a:fld>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PL%20Wise%20-%20ECPPI%20&amp;%20Here%20nex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 Wise - ECPPI &amp; Here next"/>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elatkar, Sanket" refreshedDate="44063.955703009262" createdVersion="6" refreshedVersion="6" minRefreshableVersion="3" recordCount="255" xr:uid="{80F4F61D-C4E8-4A04-94CA-7DC602F72035}">
  <cacheSource type="worksheet">
    <worksheetSource ref="D3:E258" sheet="Sheet6"/>
  </cacheSource>
  <cacheFields count="2">
    <cacheField name="Audience Name" numFmtId="0">
      <sharedItems count="51">
        <s v="Michael Kennedy"/>
        <s v="Alexander Dominique"/>
        <s v="Girish Vengaserry"/>
        <s v="Ravindar Dayachand"/>
        <s v="Johan Beerens"/>
        <s v="Nitin Kare"/>
        <s v="Nicholas Hatcher"/>
        <s v="Syed Fahim Akhtar"/>
        <s v="Riya Matai"/>
        <s v="Devendra Samant"/>
        <s v="Matt Melvin"/>
        <s v="Andrew Wilson"/>
        <s v="Oliver Monson"/>
        <s v="Justin Link"/>
        <s v="Kristin Thompson"/>
        <s v="Michael Deuerling"/>
        <s v="Jeremy Young"/>
        <s v="Phillip Bernard"/>
        <s v="Olivier Ricordel"/>
        <s v="Raymond O'Mara"/>
        <s v="Sheila Nedelcu"/>
        <s v="Alind Chonkar"/>
        <s v="Tony Rzany"/>
        <s v="William Marks"/>
        <s v="Ben Woodley"/>
        <s v="Andrea Gagliardi"/>
        <s v="Hussain Khan"/>
        <s v="Sagar Zaveri"/>
        <s v="Eugene Feld"/>
        <s v="Sneha Chaphalkar"/>
        <s v="Michael Weiland"/>
        <s v="Sjon Kuijpers"/>
        <s v="Rainu Pierce"/>
        <s v="Susan Petr"/>
        <s v="Nancy Womack"/>
        <s v="Andrey Ulianov"/>
        <s v="Ashutosh Gawade"/>
        <s v="Guy Romano"/>
        <s v="Uyen Nguyen"/>
        <s v="Vikas Wadhwa"/>
        <s v="Nisha Sharma"/>
        <s v="James Panek"/>
        <s v="Krzysztof Makiel"/>
        <s v="Juilo Arrioja"/>
        <s v="Don Peterson"/>
        <s v="Anuradha Shenoy"/>
        <s v="Max Berggren"/>
        <s v="Nisha Saini"/>
        <s v="Adhithya Rajan"/>
        <s v="Katherine Aanensen"/>
        <s v="Brandon Ludwig"/>
      </sharedItems>
    </cacheField>
    <cacheField name="Strongly Disagree/Disagree" numFmtId="0">
      <sharedItems containsMixedTypes="1" containsNumber="1" containsInteger="1" minValue="0" maxValue="0" count="6">
        <n v="0"/>
        <s v="High Quality Products"/>
        <s v="Agiility"/>
        <s v="Proactive in highlighting issues/risks"/>
        <s v="Sharing project status updates"/>
        <s v="On time delivery"/>
      </sharedItems>
    </cacheField>
  </cacheFields>
  <extLst>
    <ext xmlns:x14="http://schemas.microsoft.com/office/spreadsheetml/2009/9/main" uri="{725AE2AE-9491-48be-B2B4-4EB974FC3084}">
      <x14:pivotCacheDefinition pivotCacheId="117154382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elatkar, Sanket" refreshedDate="44063.955703125001" createdVersion="6" refreshedVersion="6" minRefreshableVersion="3" recordCount="321" xr:uid="{FC53ECC3-FADA-4906-A299-C284B79AC514}">
  <cacheSource type="worksheet">
    <worksheetSource ref="A1:N1048576" sheet="InputDataset"/>
  </cacheSource>
  <cacheFields count="14">
    <cacheField name="Workgroup" numFmtId="0">
      <sharedItems containsBlank="1"/>
    </cacheField>
    <cacheField name="Program" numFmtId="0">
      <sharedItems containsBlank="1"/>
    </cacheField>
    <cacheField name="Shared By" numFmtId="0">
      <sharedItems containsBlank="1"/>
    </cacheField>
    <cacheField name="Audience Name" numFmtId="0">
      <sharedItems containsBlank="1"/>
    </cacheField>
    <cacheField name="Audience Name2" numFmtId="0">
      <sharedItems containsBlank="1" count="52">
        <s v="ALC Michael Kennedy"/>
        <s v="ALC Alexander Dominique"/>
        <s v="Localization Girish Vengaserry"/>
        <s v="Localization Ravindar Dayachand"/>
        <s v="ALC Johan Beerens"/>
        <s v="ALC Nitin Kare"/>
        <s v="ALC Nicholas Hatcher"/>
        <s v="ALC Syed Fahim Akhtar"/>
        <s v="ALC Riya Matai"/>
        <s v="Here Lanes Devendra Samant"/>
        <s v="Localization &amp; HDLM Lanes Matt Melvin"/>
        <s v="HDLM Lanes Andrew Wilson"/>
        <s v="ALC Oliver Monson"/>
        <s v="HDLM Lanes Justin Link"/>
        <s v="HDLM Lanes Kristin Thompson"/>
        <s v="HDLM Lanes Michael Deuerling"/>
        <s v="HDLM Lanes Jeremy Young"/>
        <s v="Localization &amp; HDLM Lanes Phillip Bernard"/>
        <s v="HDLM Lanes Olivier Ricordel"/>
        <s v="HDLM Lanes Raymond O'Mara"/>
        <s v="ALC Sheila Nedelcu"/>
        <s v="Here Lanes Alind Chonkar"/>
        <s v="ALC Tony Rzany"/>
        <s v="Localization William Marks"/>
        <s v="Here Lanes Ben Woodley"/>
        <s v="Here Lanes Andrea Gagliardi"/>
        <s v="Here Lanes Hussain Khan"/>
        <s v="Here Lanes Sagar Zaveri"/>
        <s v="ALC Eugene Feld"/>
        <s v="HDLM Lanes Sneha Chaphalkar"/>
        <s v="HDLM Lanes Michael Weiland"/>
        <s v="Here Lanes Sjon Kuijpers"/>
        <s v="ALC Rainu Pierce"/>
        <s v="Here Lanes Susan Petr"/>
        <s v="Here Lanes Nancy Womack"/>
        <s v="Here Lanes Andrey Ulianov"/>
        <s v="Here Lanes Ashutosh Gawade"/>
        <s v="Localization Guy Romano"/>
        <s v="MFA Uyen Nguyen"/>
        <s v="ALC Vikas Wadhwa"/>
        <s v="ALC Nisha Sharma"/>
        <s v="HDLM Lanes James Panek"/>
        <s v="HDLM Lanes Krzysztof Makiel"/>
        <s v="HDLM Lanes Juilo Arrioja"/>
        <s v="ALC Don Peterson"/>
        <s v="ALC Anuradha Shenoy"/>
        <s v="HDLM Lanes Max Berggren"/>
        <s v="ALC Nisha Saini"/>
        <s v="MFA Adhithya Rajan"/>
        <s v="MFA Katherine Aanensen"/>
        <s v="MFA Brandon Ludwig"/>
        <m/>
      </sharedItems>
    </cacheField>
    <cacheField name="Emp ID" numFmtId="0">
      <sharedItems containsNonDate="0" containsString="0" containsBlank="1"/>
    </cacheField>
    <cacheField name="Email" numFmtId="0">
      <sharedItems containsBlank="1"/>
    </cacheField>
    <cacheField name="High Quality Products" numFmtId="0">
      <sharedItems containsBlank="1"/>
    </cacheField>
    <cacheField name="Agiility" numFmtId="0">
      <sharedItems containsBlank="1"/>
    </cacheField>
    <cacheField name="Proactive in highlighting issues/risks" numFmtId="0">
      <sharedItems containsBlank="1"/>
    </cacheField>
    <cacheField name="Sharing project status updates" numFmtId="0">
      <sharedItems containsBlank="1"/>
    </cacheField>
    <cacheField name="On time delivery" numFmtId="0">
      <sharedItems containsBlank="1"/>
    </cacheField>
    <cacheField name="Overall Experience with GCO Team" numFmtId="0">
      <sharedItems containsString="0" containsBlank="1" containsNumber="1" containsInteger="1" minValue="1" maxValue="10"/>
    </cacheField>
    <cacheField name="Current Engagement Frequency"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elatkar, Sanket" refreshedDate="44063.955703125001" createdVersion="6" refreshedVersion="6" minRefreshableVersion="3" recordCount="94" xr:uid="{2822F618-1A85-4340-BAEF-88F5EAC22A0B}">
  <cacheSource type="worksheet">
    <worksheetSource ref="B2:C96" sheet="concated_ques2"/>
  </cacheSource>
  <cacheFields count="2">
    <cacheField name="Audience Name" numFmtId="0">
      <sharedItems count="85">
        <s v="Ravindar Dayachand"/>
        <s v="Johan Beerens"/>
        <s v="Syed Fahim Akhtar"/>
        <s v="Devendra Samant"/>
        <s v="Andrew Wilson"/>
        <s v="Kristin Thompson"/>
        <s v="Michael Deuerling"/>
        <s v="Phillip Bernard"/>
        <s v="Raymond O'Mara"/>
        <s v="Sheila Nedelcu"/>
        <s v="Tony Rzany"/>
        <s v="William Marks"/>
        <s v="Sagar Zaveri"/>
        <s v="Michael Weiland"/>
        <s v="Sjon Kuijpers"/>
        <s v="Rainu Pierce"/>
        <s v="Ashutosh Gawade"/>
        <s v="Krzysztof Makiel"/>
        <s v="Don Peterson"/>
        <s v="Nitin Kare"/>
        <s v="Riya Matai"/>
        <s v="Oliver Monson"/>
        <s v="Justin Link"/>
        <s v="Andrea Gagliardi"/>
        <s v="Eugene Feld"/>
        <s v="Susan Petr"/>
        <s v="Andrey Ulianov"/>
        <s v="MFA Uyen Nguyen"/>
        <s v="Nisha Sharma"/>
        <s v="Anuradha Shenoy"/>
        <s v="Max Berggren"/>
        <s v="Nisha Saini"/>
        <s v="Brandon Ludwig"/>
        <s v="Jeremy Young"/>
        <s v="Ben Woodley"/>
        <s v="Sneha Chaphalkar"/>
        <s v="Guy Romano"/>
        <s v="Adhithya Rajan"/>
        <s v="Hussain Khan"/>
        <s v="Uyen Nguyen"/>
        <s v="ikas Wadhwa"/>
        <s v=" Juilo Arrioja"/>
        <s v="Katherine Aanensen"/>
        <s v="neha Chaphalkar"/>
        <s v="ALC Nisha Sharma" u="1"/>
        <s v="ALC Rainu Pierce" u="1"/>
        <s v="Here Lanes Hussain Khan" u="1"/>
        <s v="HDLM Lanes Kristin Thompson" u="1"/>
        <s v="ALC Johan Beerens" u="1"/>
        <s v="HDLM Lanes Andrew Wilson" u="1"/>
        <s v="Here Lanes Sjon Kuijpers" u="1"/>
        <s v="ALC Anuradha Shenoy" u="1"/>
        <s v="ALC Nisha Saini" u="1"/>
        <s v="HDLM Lanes Juilo Arrioja" u="1"/>
        <s v="MFA Adhithya Rajan" u="1"/>
        <s v="MFA Brandon Ludwig" u="1"/>
        <s v="HDLM Lanes Michael Deuerling" u="1"/>
        <s v="Here Lanes Ashutosh Gawade" u="1"/>
        <s v="ALC Eugene Feld" u="1"/>
        <s v="Here Lanes Andrey Ulianov" u="1"/>
        <s v="ALC Tony Rzany" u="1"/>
        <s v="Here Lanes Ben Woodley" u="1"/>
        <s v="ALC Riya Matai" u="1"/>
        <s v="Here Lanes Susan Petr" u="1"/>
        <s v="MFA Katherine Aanensen" u="1"/>
        <s v="Here Lanes Sagar Zaveri" u="1"/>
        <s v="ALC Don Peterson" u="1"/>
        <s v="HDLM Lanes Max Berggren" u="1"/>
        <s v="Here Lanes Andrea Gagliardi" u="1"/>
        <s v="ALC Nitin Kare" u="1"/>
        <s v="Localization William Marks" u="1"/>
        <s v="HDLM Lanes Michael Weiland" u="1"/>
        <s v="HDLM Lanes Jeremy Young" u="1"/>
        <s v="Here Lanes Devendra Samant" u="1"/>
        <s v="ALC Vikas Wadhwa" u="1"/>
        <s v="HDLM Lanes Justin Link" u="1"/>
        <s v="ALC Oliver Monson" u="1"/>
        <s v="HDLM Lanes Krzysztof Makiel" u="1"/>
        <s v="Localization Ravindar Dayachand" u="1"/>
        <s v="ALC Sheila Nedelcu" u="1"/>
        <s v="HDLM Lanes Sneha Chaphalkar" u="1"/>
        <s v="Localization &amp; HDLM Lanes Phillip Bernard" u="1"/>
        <s v="ALC Syed Fahim Akhtar" u="1"/>
        <s v="Localization Guy Romano" u="1"/>
        <s v="HDLM Lanes Raymond O'Mara" u="1"/>
      </sharedItems>
    </cacheField>
    <cacheField name="Strongly Disagree/Disagree" numFmtId="0">
      <sharedItems count="5">
        <s v="High Quality Products"/>
        <s v="Agiility"/>
        <s v="Proactive in highlighting issues/risks"/>
        <s v="Sharing project status updates"/>
        <s v="On time delivery"/>
      </sharedItems>
    </cacheField>
  </cacheFields>
  <extLst>
    <ext xmlns:x14="http://schemas.microsoft.com/office/spreadsheetml/2009/9/main" uri="{725AE2AE-9491-48be-B2B4-4EB974FC3084}">
      <x14:pivotCacheDefinition pivotCacheId="98473268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elatkar, Sanket" refreshedDate="44063.955703125001" createdVersion="6" refreshedVersion="6" minRefreshableVersion="3" recordCount="51" xr:uid="{FE4AC868-5543-4743-9FEA-95084B79399F}">
  <cacheSource type="worksheet">
    <worksheetSource ref="B2:G53" sheet="concated_ques"/>
  </cacheSource>
  <cacheFields count="6">
    <cacheField name="Audience Name" numFmtId="0">
      <sharedItems count="51">
        <s v="ALC Michael Kennedy"/>
        <s v="ALC Alexander Dominique"/>
        <s v="Localization Girish Vengaserry"/>
        <s v="Localization Ravindar Dayachand"/>
        <s v="ALC Johan Beerens"/>
        <s v="ALC Nitin Kare"/>
        <s v="ALC Nicholas Hatcher"/>
        <s v="ALC Syed Fahim Akhtar"/>
        <s v="ALC Riya Matai"/>
        <s v="Here Lanes Devendra Samant"/>
        <s v="Localization &amp; HDLM Lanes Matt Melvin"/>
        <s v="HDLM Lanes Andrew Wilson"/>
        <s v="ALC Oliver Monson"/>
        <s v="HDLM Lanes Justin Link"/>
        <s v="HDLM Lanes Kristin Thompson"/>
        <s v="HDLM Lanes Michael Deuerling"/>
        <s v="HDLM Lanes Jeremy Young"/>
        <s v="Localization &amp; HDLM Lanes Phillip Bernard"/>
        <s v="HDLM Lanes Olivier Ricordel"/>
        <s v="HDLM Lanes Raymond O'Mara"/>
        <s v="ALC Sheila Nedelcu"/>
        <s v="Here Lanes Alind Chonkar"/>
        <s v="ALC Tony Rzany"/>
        <s v="Localization William Marks"/>
        <s v="Here Lanes Ben Woodley"/>
        <s v="Here Lanes Andrea Gagliardi"/>
        <s v="Here Lanes Hussain Khan"/>
        <s v="Here Lanes Sagar Zaveri"/>
        <s v="ALC Eugene Feld"/>
        <s v="HDLM Lanes Sneha Chaphalkar"/>
        <s v="HDLM Lanes Michael Weiland"/>
        <s v="Here Lanes Sjon Kuijpers"/>
        <s v="ALC Rainu Pierce"/>
        <s v="Here Lanes Susan Petr"/>
        <s v="Here Lanes Nancy Womack"/>
        <s v="Here Lanes Andrey Ulianov"/>
        <s v="Here Lanes Ashutosh Gawade"/>
        <s v="Localization Guy Romano"/>
        <s v="MFA Uyen Nguyen"/>
        <s v="ALC Vikas Wadhwa"/>
        <s v="ALC Nisha Sharma"/>
        <s v="HDLM Lanes James Panek"/>
        <s v="HDLM Lanes Krzysztof Makiel"/>
        <s v="HDLM Lanes Juilo Arrioja"/>
        <s v="ALC Don Peterson"/>
        <s v="ALC Anuradha Shenoy"/>
        <s v="HDLM Lanes Max Berggren"/>
        <s v="ALC Nisha Saini"/>
        <s v="MFA Adhithya Rajan"/>
        <s v="MFA Katherine Aanensen"/>
        <s v="MFA Brandon Ludwig"/>
      </sharedItems>
    </cacheField>
    <cacheField name="High Quality Products" numFmtId="0">
      <sharedItems containsBlank="1"/>
    </cacheField>
    <cacheField name="Agiility" numFmtId="0">
      <sharedItems/>
    </cacheField>
    <cacheField name="Proactive in highlighting issues/risks" numFmtId="0">
      <sharedItems containsBlank="1"/>
    </cacheField>
    <cacheField name="Sharing project status updates" numFmtId="0">
      <sharedItems/>
    </cacheField>
    <cacheField name="On time delivery" numFmtId="0">
      <sharedItems containsBlank="1"/>
    </cacheField>
  </cacheFields>
  <extLst>
    <ext xmlns:x14="http://schemas.microsoft.com/office/spreadsheetml/2009/9/main" uri="{725AE2AE-9491-48be-B2B4-4EB974FC3084}">
      <x14:pivotCacheDefinition pivotCacheId="109771175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elatkar, Sanket" refreshedDate="44063.955703240739" createdVersion="6" refreshedVersion="6" minRefreshableVersion="3" recordCount="5" xr:uid="{4C20160B-7711-4D45-A028-5F044CAAB963}">
  <cacheSource type="worksheet">
    <worksheetSource name="Table2"/>
  </cacheSource>
  <cacheFields count="6">
    <cacheField name="Counts" numFmtId="0">
      <sharedItems count="6">
        <s v="Strongly Agree"/>
        <s v="Agree"/>
        <s v="Neither Agree or Disagre"/>
        <s v="Disagree"/>
        <s v="Strongly Disagree"/>
        <s v="Neither Agree or Disagree" u="1"/>
      </sharedItems>
    </cacheField>
    <cacheField name="High Quality Products" numFmtId="0">
      <sharedItems containsSemiMixedTypes="0" containsString="0" containsNumber="1" containsInteger="1" minValue="1" maxValue="6"/>
    </cacheField>
    <cacheField name="Agility" numFmtId="0">
      <sharedItems containsSemiMixedTypes="0" containsString="0" containsNumber="1" containsInteger="1" minValue="1" maxValue="3"/>
    </cacheField>
    <cacheField name="Proactive in highlighting issues/risks" numFmtId="0">
      <sharedItems containsSemiMixedTypes="0" containsString="0" containsNumber="1" containsInteger="1" minValue="0" maxValue="7"/>
    </cacheField>
    <cacheField name="Sharing project status updates" numFmtId="0">
      <sharedItems containsSemiMixedTypes="0" containsString="0" containsNumber="1" containsInteger="1" minValue="0" maxValue="8"/>
    </cacheField>
    <cacheField name="On time delivery"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775296325"/>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elatkar, Sanket" refreshedDate="44063.955703240739" createdVersion="6" refreshedVersion="6" minRefreshableVersion="3" recordCount="51" xr:uid="{B47D6C29-A339-4E78-A785-B2895B4B47E8}">
  <cacheSource type="worksheet">
    <worksheetSource name="Table1[[Program]:[Current Engagement Frequency]]"/>
  </cacheSource>
  <cacheFields count="13">
    <cacheField name="Program" numFmtId="0">
      <sharedItems/>
    </cacheField>
    <cacheField name="Shared By" numFmtId="0">
      <sharedItems/>
    </cacheField>
    <cacheField name="Audience Name" numFmtId="0">
      <sharedItems count="51">
        <s v="Michael Kennedy"/>
        <s v="Alexander Dominique"/>
        <s v="Girish Vengaserry"/>
        <s v="Ravindar Dayachand"/>
        <s v="Johan Beerens"/>
        <s v="Nitin Kare"/>
        <s v="Nicholas Hatcher"/>
        <s v="Syed Fahim Akhtar"/>
        <s v="Riya Matai"/>
        <s v="Devendra Samant"/>
        <s v="Matt Melvin"/>
        <s v="Andrew Wilson"/>
        <s v="Oliver Monson"/>
        <s v="Justin Link"/>
        <s v="Kristin Thompson"/>
        <s v="Michael Deuerling"/>
        <s v="Jeremy Young"/>
        <s v="Phillip Bernard"/>
        <s v="Olivier Ricordel"/>
        <s v="Raymond O'Mara"/>
        <s v="Sheila Nedelcu"/>
        <s v="Alind Chonkar"/>
        <s v="Tony Rzany"/>
        <s v="William Marks"/>
        <s v="Ben Woodley"/>
        <s v="Andrea Gagliardi"/>
        <s v="Hussain Khan"/>
        <s v="Sagar Zaveri"/>
        <s v="Eugene Feld"/>
        <s v="Sneha Chaphalkar"/>
        <s v="Michael Weiland"/>
        <s v="Sjon Kuijpers"/>
        <s v="Rainu Pierce"/>
        <s v="Susan Petr"/>
        <s v="Nancy Womack"/>
        <s v="Andrey Ulianov"/>
        <s v="Ashutosh Gawade"/>
        <s v="Guy Romano"/>
        <s v="Uyen Nguyen"/>
        <s v="Vikas Wadhwa"/>
        <s v="Nisha Sharma"/>
        <s v="James Panek"/>
        <s v="Krzysztof Makiel"/>
        <s v="Juilo Arrioja"/>
        <s v="Don Peterson"/>
        <s v="Anuradha Shenoy"/>
        <s v="Max Berggren"/>
        <s v="Nisha Saini"/>
        <s v="Adhithya Rajan"/>
        <s v="Katherine Aanensen"/>
        <s v="Brandon Ludwig"/>
      </sharedItems>
    </cacheField>
    <cacheField name="Audience Name2" numFmtId="0">
      <sharedItems/>
    </cacheField>
    <cacheField name="Emp ID" numFmtId="0">
      <sharedItems containsNonDate="0" containsString="0" containsBlank="1"/>
    </cacheField>
    <cacheField name="Email" numFmtId="0">
      <sharedItems/>
    </cacheField>
    <cacheField name="High Quality Products" numFmtId="0">
      <sharedItems containsBlank="1"/>
    </cacheField>
    <cacheField name="Agiility" numFmtId="0">
      <sharedItems containsBlank="1"/>
    </cacheField>
    <cacheField name="Proactive in highlighting issues/risks" numFmtId="0">
      <sharedItems containsBlank="1"/>
    </cacheField>
    <cacheField name="Sharing project status updates" numFmtId="0">
      <sharedItems containsBlank="1"/>
    </cacheField>
    <cacheField name="On time delivery" numFmtId="0">
      <sharedItems containsBlank="1"/>
    </cacheField>
    <cacheField name="Overall Experience with GCO Team" numFmtId="0">
      <sharedItems containsString="0" containsBlank="1" containsNumber="1" containsInteger="1" minValue="1" maxValue="10"/>
    </cacheField>
    <cacheField name="Current Engagement Frequency" numFmtId="0">
      <sharedItems containsBlank="1" count="6">
        <s v="Fortnightly"/>
        <s v="Weekly"/>
        <s v="No Connect"/>
        <s v="Ad Hoc"/>
        <s v="Monthly"/>
        <m u="1"/>
      </sharedItems>
    </cacheField>
  </cacheFields>
  <extLst>
    <ext xmlns:x14="http://schemas.microsoft.com/office/spreadsheetml/2009/9/main" uri="{725AE2AE-9491-48be-B2B4-4EB974FC3084}">
      <x14:pivotCacheDefinition pivotCacheId="1335733924"/>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helatkar, Sanket" refreshedDate="44623.637318287037" createdVersion="6" refreshedVersion="7" minRefreshableVersion="3" recordCount="51" xr:uid="{43C4F235-9563-4846-B573-B57BCE7679C9}">
  <cacheSource type="worksheet">
    <worksheetSource ref="G1:H52" sheet="concated_ques2"/>
  </cacheSource>
  <cacheFields count="2">
    <cacheField name="Audience Name2" numFmtId="0">
      <sharedItems count="103">
        <s v="Michael Kennedy"/>
        <s v="Alexander Dominique"/>
        <s v="Girish Vengaserry"/>
        <s v="Ravindar Dayachand"/>
        <s v="Johan Beerens"/>
        <s v="Nitin Kare"/>
        <s v="Nicholas Hatcher"/>
        <s v="Syed Fahim Akhtar"/>
        <s v="Riya Matai"/>
        <s v="Devendra Samant"/>
        <s v="Matt Melvin"/>
        <s v="Andrew Wilson"/>
        <s v="Oliver Monson"/>
        <s v="Justin Link"/>
        <s v="Kristin Thompson"/>
        <s v="Michael Deuerling"/>
        <s v="Jeremy Young"/>
        <s v="Phillip Bernard"/>
        <s v="Olivier Ricordel"/>
        <s v="Raymond O'Mara"/>
        <s v="heila Nedelcu"/>
        <s v="Alind Chonkar"/>
        <s v="Tony Rzany"/>
        <s v="William Marks"/>
        <s v="Ben Woodley"/>
        <s v="Andrea Gagliardi"/>
        <s v="Hussain Khan"/>
        <s v="Sagar Zaveri"/>
        <s v="Eugene Feld"/>
        <s v="Sneha Chaphalkar"/>
        <s v="Michael Weiland"/>
        <s v="Sjon Kuijpers"/>
        <s v="Rainu Pierce"/>
        <s v="Susan Petr"/>
        <s v="Nancy Womack"/>
        <s v="Andrey Ulianov"/>
        <s v="Ashutosh Gawade"/>
        <s v="Guy Romano"/>
        <s v="Uyen Nguyen"/>
        <s v="Vikas Wadhwa"/>
        <s v="Nisha Sharma"/>
        <s v="James Panek"/>
        <s v="Krzysztof Makiel"/>
        <s v="Juilo Arrioja"/>
        <s v="Don Peterson"/>
        <s v="Anuradha Shenoy"/>
        <s v="Max Berggren"/>
        <s v="Nisha Saini"/>
        <s v="Adhithya Rajan"/>
        <s v="Katherine Aanensen"/>
        <s v="Brandon Ludwig"/>
        <s v="MFA Adhithya Rajan" u="1"/>
        <s v="MFA Brandon Ludwig" u="1"/>
        <s v="HDLM Lanes Justin Link" u="1"/>
        <s v="HDLM Lanes James Panek" u="1"/>
        <s v="Here Lanes Sagar Zaveri" u="1"/>
        <s v="HDLM Lanes Andrew Wilson" u="1"/>
        <s v="Localization Girish Vengaserry" u="1"/>
        <s v="Here Lanes Nancy Womack" u="1"/>
        <s v="HDLM Lanes Michael Weiland" u="1"/>
        <s v="ALC Rainu Pierce" u="1"/>
        <s v="ALC Syed Fahim Akhtar" u="1"/>
        <s v="HDLM Lanes Kristin Thompson" u="1"/>
        <s v="MFA Katherine Aanensen" u="1"/>
        <s v="ames Panek" u="1"/>
        <s v="ALC Sheila Nedelcu" u="1"/>
        <s v="Localization Guy Romano" u="1"/>
        <s v="HDLM Lanes Michael Deuerling" u="1"/>
        <s v="ALC Oliver Monson" u="1"/>
        <s v="Here Lanes Andrea Gagliardi" u="1"/>
        <s v="ALC Nicholas Hatcher" u="1"/>
        <s v="HDLM Lanes Raymond O'Mara" u="1"/>
        <s v="Localization &amp; HDLM Lanes Phillip Bernard" u="1"/>
        <s v="ALC Nisha Saini" u="1"/>
        <s v="HDLM Lanes Jeremy Young" u="1"/>
        <s v="HDLM Lanes Juilo Arrioja" u="1"/>
        <s v="HDLM Lanes Krzysztof Makiel" u="1"/>
        <s v="ALC Eugene Feld" u="1"/>
        <s v="ALC Riya Matai" u="1"/>
        <s v="HDLM Lanes Max Berggren" u="1"/>
        <s v="HDLM Lanes Olivier Ricordel" u="1"/>
        <s v="Here Lanes Ben Woodley" u="1"/>
        <s v="Here Lanes Susan Petr" u="1"/>
        <s v="ALC Tony Rzany" u="1"/>
        <s v="Here Lanes Andrey Ulianov" u="1"/>
        <s v="Here Lanes Hussain Khan" u="1"/>
        <s v="Here Lanes Ashutosh Gawade" u="1"/>
        <s v="Here Lanes Sjon Kuijpers" u="1"/>
        <s v="ALC Johan Beerens" u="1"/>
        <s v="Here Lanes Devendra Samant" u="1"/>
        <s v="MFA Uyen Nguyen" u="1"/>
        <s v="ALC Nitin Kare" u="1"/>
        <s v="ALC Don Peterson" u="1"/>
        <s v="Localization Ravindar Dayachand" u="1"/>
        <s v="ALC Vikas Wadhwa" u="1"/>
        <s v="Localization William Marks" u="1"/>
        <s v="ALC Michael Kennedy" u="1"/>
        <s v="Here Lanes Alind Chonkar" u="1"/>
        <s v="HDLM Lanes Sneha Chaphalkar" u="1"/>
        <s v="ALC Alexander Dominique" u="1"/>
        <s v="Localization &amp; HDLM Lanes Matt Melvin" u="1"/>
        <s v="ALC Nisha Sharma" u="1"/>
        <s v="ALC Anuradha Shenoy" u="1"/>
      </sharedItems>
    </cacheField>
    <cacheField name="Current Engagement Frequency" numFmtId="0">
      <sharedItems count="5">
        <s v="No Connect"/>
        <s v="Ad Hoc"/>
        <s v="Weekly"/>
        <s v="Fortnightly"/>
        <s v="Monthly"/>
      </sharedItems>
    </cacheField>
  </cacheFields>
  <extLst>
    <ext xmlns:x14="http://schemas.microsoft.com/office/spreadsheetml/2009/9/main" uri="{725AE2AE-9491-48be-B2B4-4EB974FC3084}">
      <x14:pivotCacheDefinition pivotCacheId="17600358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5">
  <r>
    <x v="0"/>
    <x v="0"/>
  </r>
  <r>
    <x v="1"/>
    <x v="1"/>
  </r>
  <r>
    <x v="2"/>
    <x v="0"/>
  </r>
  <r>
    <x v="3"/>
    <x v="0"/>
  </r>
  <r>
    <x v="4"/>
    <x v="0"/>
  </r>
  <r>
    <x v="5"/>
    <x v="0"/>
  </r>
  <r>
    <x v="6"/>
    <x v="0"/>
  </r>
  <r>
    <x v="7"/>
    <x v="0"/>
  </r>
  <r>
    <x v="8"/>
    <x v="0"/>
  </r>
  <r>
    <x v="9"/>
    <x v="0"/>
  </r>
  <r>
    <x v="10"/>
    <x v="0"/>
  </r>
  <r>
    <x v="11"/>
    <x v="0"/>
  </r>
  <r>
    <x v="12"/>
    <x v="0"/>
  </r>
  <r>
    <x v="13"/>
    <x v="0"/>
  </r>
  <r>
    <x v="14"/>
    <x v="0"/>
  </r>
  <r>
    <x v="15"/>
    <x v="0"/>
  </r>
  <r>
    <x v="16"/>
    <x v="0"/>
  </r>
  <r>
    <x v="17"/>
    <x v="0"/>
  </r>
  <r>
    <x v="18"/>
    <x v="0"/>
  </r>
  <r>
    <x v="19"/>
    <x v="0"/>
  </r>
  <r>
    <x v="20"/>
    <x v="0"/>
  </r>
  <r>
    <x v="21"/>
    <x v="0"/>
  </r>
  <r>
    <x v="22"/>
    <x v="0"/>
  </r>
  <r>
    <x v="23"/>
    <x v="0"/>
  </r>
  <r>
    <x v="24"/>
    <x v="0"/>
  </r>
  <r>
    <x v="25"/>
    <x v="0"/>
  </r>
  <r>
    <x v="26"/>
    <x v="0"/>
  </r>
  <r>
    <x v="27"/>
    <x v="0"/>
  </r>
  <r>
    <x v="28"/>
    <x v="0"/>
  </r>
  <r>
    <x v="29"/>
    <x v="0"/>
  </r>
  <r>
    <x v="30"/>
    <x v="0"/>
  </r>
  <r>
    <x v="31"/>
    <x v="0"/>
  </r>
  <r>
    <x v="32"/>
    <x v="0"/>
  </r>
  <r>
    <x v="33"/>
    <x v="0"/>
  </r>
  <r>
    <x v="34"/>
    <x v="0"/>
  </r>
  <r>
    <x v="35"/>
    <x v="0"/>
  </r>
  <r>
    <x v="36"/>
    <x v="0"/>
  </r>
  <r>
    <x v="37"/>
    <x v="0"/>
  </r>
  <r>
    <x v="38"/>
    <x v="0"/>
  </r>
  <r>
    <x v="39"/>
    <x v="0"/>
  </r>
  <r>
    <x v="40"/>
    <x v="0"/>
  </r>
  <r>
    <x v="41"/>
    <x v="0"/>
  </r>
  <r>
    <x v="42"/>
    <x v="0"/>
  </r>
  <r>
    <x v="43"/>
    <x v="0"/>
  </r>
  <r>
    <x v="44"/>
    <x v="0"/>
  </r>
  <r>
    <x v="45"/>
    <x v="0"/>
  </r>
  <r>
    <x v="46"/>
    <x v="0"/>
  </r>
  <r>
    <x v="47"/>
    <x v="0"/>
  </r>
  <r>
    <x v="48"/>
    <x v="0"/>
  </r>
  <r>
    <x v="49"/>
    <x v="0"/>
  </r>
  <r>
    <x v="50"/>
    <x v="1"/>
  </r>
  <r>
    <x v="0"/>
    <x v="0"/>
  </r>
  <r>
    <x v="1"/>
    <x v="0"/>
  </r>
  <r>
    <x v="2"/>
    <x v="0"/>
  </r>
  <r>
    <x v="3"/>
    <x v="0"/>
  </r>
  <r>
    <x v="4"/>
    <x v="0"/>
  </r>
  <r>
    <x v="5"/>
    <x v="0"/>
  </r>
  <r>
    <x v="6"/>
    <x v="0"/>
  </r>
  <r>
    <x v="7"/>
    <x v="0"/>
  </r>
  <r>
    <x v="8"/>
    <x v="0"/>
  </r>
  <r>
    <x v="9"/>
    <x v="0"/>
  </r>
  <r>
    <x v="10"/>
    <x v="0"/>
  </r>
  <r>
    <x v="11"/>
    <x v="0"/>
  </r>
  <r>
    <x v="12"/>
    <x v="0"/>
  </r>
  <r>
    <x v="13"/>
    <x v="0"/>
  </r>
  <r>
    <x v="14"/>
    <x v="0"/>
  </r>
  <r>
    <x v="15"/>
    <x v="0"/>
  </r>
  <r>
    <x v="16"/>
    <x v="0"/>
  </r>
  <r>
    <x v="17"/>
    <x v="0"/>
  </r>
  <r>
    <x v="18"/>
    <x v="0"/>
  </r>
  <r>
    <x v="19"/>
    <x v="0"/>
  </r>
  <r>
    <x v="20"/>
    <x v="0"/>
  </r>
  <r>
    <x v="21"/>
    <x v="0"/>
  </r>
  <r>
    <x v="22"/>
    <x v="0"/>
  </r>
  <r>
    <x v="23"/>
    <x v="0"/>
  </r>
  <r>
    <x v="24"/>
    <x v="0"/>
  </r>
  <r>
    <x v="25"/>
    <x v="0"/>
  </r>
  <r>
    <x v="26"/>
    <x v="0"/>
  </r>
  <r>
    <x v="27"/>
    <x v="0"/>
  </r>
  <r>
    <x v="28"/>
    <x v="0"/>
  </r>
  <r>
    <x v="29"/>
    <x v="0"/>
  </r>
  <r>
    <x v="30"/>
    <x v="0"/>
  </r>
  <r>
    <x v="31"/>
    <x v="0"/>
  </r>
  <r>
    <x v="32"/>
    <x v="0"/>
  </r>
  <r>
    <x v="33"/>
    <x v="0"/>
  </r>
  <r>
    <x v="34"/>
    <x v="0"/>
  </r>
  <r>
    <x v="35"/>
    <x v="0"/>
  </r>
  <r>
    <x v="36"/>
    <x v="0"/>
  </r>
  <r>
    <x v="37"/>
    <x v="0"/>
  </r>
  <r>
    <x v="38"/>
    <x v="0"/>
  </r>
  <r>
    <x v="39"/>
    <x v="0"/>
  </r>
  <r>
    <x v="40"/>
    <x v="0"/>
  </r>
  <r>
    <x v="41"/>
    <x v="0"/>
  </r>
  <r>
    <x v="42"/>
    <x v="0"/>
  </r>
  <r>
    <x v="43"/>
    <x v="0"/>
  </r>
  <r>
    <x v="44"/>
    <x v="0"/>
  </r>
  <r>
    <x v="45"/>
    <x v="0"/>
  </r>
  <r>
    <x v="46"/>
    <x v="2"/>
  </r>
  <r>
    <x v="47"/>
    <x v="0"/>
  </r>
  <r>
    <x v="48"/>
    <x v="0"/>
  </r>
  <r>
    <x v="49"/>
    <x v="0"/>
  </r>
  <r>
    <x v="50"/>
    <x v="2"/>
  </r>
  <r>
    <x v="0"/>
    <x v="3"/>
  </r>
  <r>
    <x v="1"/>
    <x v="0"/>
  </r>
  <r>
    <x v="2"/>
    <x v="0"/>
  </r>
  <r>
    <x v="3"/>
    <x v="0"/>
  </r>
  <r>
    <x v="4"/>
    <x v="0"/>
  </r>
  <r>
    <x v="5"/>
    <x v="3"/>
  </r>
  <r>
    <x v="6"/>
    <x v="0"/>
  </r>
  <r>
    <x v="7"/>
    <x v="3"/>
  </r>
  <r>
    <x v="8"/>
    <x v="0"/>
  </r>
  <r>
    <x v="9"/>
    <x v="3"/>
  </r>
  <r>
    <x v="10"/>
    <x v="0"/>
  </r>
  <r>
    <x v="11"/>
    <x v="3"/>
  </r>
  <r>
    <x v="12"/>
    <x v="0"/>
  </r>
  <r>
    <x v="13"/>
    <x v="0"/>
  </r>
  <r>
    <x v="14"/>
    <x v="3"/>
  </r>
  <r>
    <x v="15"/>
    <x v="0"/>
  </r>
  <r>
    <x v="16"/>
    <x v="3"/>
  </r>
  <r>
    <x v="17"/>
    <x v="0"/>
  </r>
  <r>
    <x v="18"/>
    <x v="0"/>
  </r>
  <r>
    <x v="19"/>
    <x v="0"/>
  </r>
  <r>
    <x v="20"/>
    <x v="0"/>
  </r>
  <r>
    <x v="21"/>
    <x v="0"/>
  </r>
  <r>
    <x v="22"/>
    <x v="3"/>
  </r>
  <r>
    <x v="23"/>
    <x v="0"/>
  </r>
  <r>
    <x v="24"/>
    <x v="0"/>
  </r>
  <r>
    <x v="25"/>
    <x v="0"/>
  </r>
  <r>
    <x v="26"/>
    <x v="3"/>
  </r>
  <r>
    <x v="27"/>
    <x v="0"/>
  </r>
  <r>
    <x v="28"/>
    <x v="0"/>
  </r>
  <r>
    <x v="29"/>
    <x v="0"/>
  </r>
  <r>
    <x v="30"/>
    <x v="0"/>
  </r>
  <r>
    <x v="31"/>
    <x v="0"/>
  </r>
  <r>
    <x v="32"/>
    <x v="0"/>
  </r>
  <r>
    <x v="33"/>
    <x v="0"/>
  </r>
  <r>
    <x v="34"/>
    <x v="3"/>
  </r>
  <r>
    <x v="35"/>
    <x v="0"/>
  </r>
  <r>
    <x v="36"/>
    <x v="0"/>
  </r>
  <r>
    <x v="37"/>
    <x v="0"/>
  </r>
  <r>
    <x v="38"/>
    <x v="0"/>
  </r>
  <r>
    <x v="39"/>
    <x v="0"/>
  </r>
  <r>
    <x v="40"/>
    <x v="3"/>
  </r>
  <r>
    <x v="41"/>
    <x v="0"/>
  </r>
  <r>
    <x v="42"/>
    <x v="0"/>
  </r>
  <r>
    <x v="43"/>
    <x v="0"/>
  </r>
  <r>
    <x v="44"/>
    <x v="0"/>
  </r>
  <r>
    <x v="45"/>
    <x v="0"/>
  </r>
  <r>
    <x v="46"/>
    <x v="0"/>
  </r>
  <r>
    <x v="47"/>
    <x v="0"/>
  </r>
  <r>
    <x v="48"/>
    <x v="0"/>
  </r>
  <r>
    <x v="49"/>
    <x v="0"/>
  </r>
  <r>
    <x v="50"/>
    <x v="3"/>
  </r>
  <r>
    <x v="0"/>
    <x v="4"/>
  </r>
  <r>
    <x v="1"/>
    <x v="0"/>
  </r>
  <r>
    <x v="2"/>
    <x v="4"/>
  </r>
  <r>
    <x v="3"/>
    <x v="0"/>
  </r>
  <r>
    <x v="4"/>
    <x v="4"/>
  </r>
  <r>
    <x v="5"/>
    <x v="0"/>
  </r>
  <r>
    <x v="6"/>
    <x v="0"/>
  </r>
  <r>
    <x v="7"/>
    <x v="4"/>
  </r>
  <r>
    <x v="8"/>
    <x v="0"/>
  </r>
  <r>
    <x v="9"/>
    <x v="0"/>
  </r>
  <r>
    <x v="10"/>
    <x v="0"/>
  </r>
  <r>
    <x v="11"/>
    <x v="4"/>
  </r>
  <r>
    <x v="12"/>
    <x v="0"/>
  </r>
  <r>
    <x v="13"/>
    <x v="0"/>
  </r>
  <r>
    <x v="14"/>
    <x v="4"/>
  </r>
  <r>
    <x v="15"/>
    <x v="0"/>
  </r>
  <r>
    <x v="16"/>
    <x v="0"/>
  </r>
  <r>
    <x v="17"/>
    <x v="4"/>
  </r>
  <r>
    <x v="18"/>
    <x v="0"/>
  </r>
  <r>
    <x v="19"/>
    <x v="0"/>
  </r>
  <r>
    <x v="20"/>
    <x v="0"/>
  </r>
  <r>
    <x v="21"/>
    <x v="4"/>
  </r>
  <r>
    <x v="22"/>
    <x v="0"/>
  </r>
  <r>
    <x v="23"/>
    <x v="0"/>
  </r>
  <r>
    <x v="24"/>
    <x v="0"/>
  </r>
  <r>
    <x v="25"/>
    <x v="0"/>
  </r>
  <r>
    <x v="26"/>
    <x v="4"/>
  </r>
  <r>
    <x v="27"/>
    <x v="0"/>
  </r>
  <r>
    <x v="28"/>
    <x v="0"/>
  </r>
  <r>
    <x v="29"/>
    <x v="0"/>
  </r>
  <r>
    <x v="30"/>
    <x v="0"/>
  </r>
  <r>
    <x v="31"/>
    <x v="4"/>
  </r>
  <r>
    <x v="32"/>
    <x v="0"/>
  </r>
  <r>
    <x v="33"/>
    <x v="0"/>
  </r>
  <r>
    <x v="34"/>
    <x v="0"/>
  </r>
  <r>
    <x v="35"/>
    <x v="0"/>
  </r>
  <r>
    <x v="36"/>
    <x v="4"/>
  </r>
  <r>
    <x v="37"/>
    <x v="0"/>
  </r>
  <r>
    <x v="38"/>
    <x v="0"/>
  </r>
  <r>
    <x v="39"/>
    <x v="4"/>
  </r>
  <r>
    <x v="40"/>
    <x v="0"/>
  </r>
  <r>
    <x v="41"/>
    <x v="0"/>
  </r>
  <r>
    <x v="42"/>
    <x v="0"/>
  </r>
  <r>
    <x v="43"/>
    <x v="0"/>
  </r>
  <r>
    <x v="44"/>
    <x v="4"/>
  </r>
  <r>
    <x v="45"/>
    <x v="0"/>
  </r>
  <r>
    <x v="46"/>
    <x v="0"/>
  </r>
  <r>
    <x v="47"/>
    <x v="0"/>
  </r>
  <r>
    <x v="48"/>
    <x v="0"/>
  </r>
  <r>
    <x v="49"/>
    <x v="0"/>
  </r>
  <r>
    <x v="50"/>
    <x v="4"/>
  </r>
  <r>
    <x v="0"/>
    <x v="5"/>
  </r>
  <r>
    <x v="1"/>
    <x v="0"/>
  </r>
  <r>
    <x v="2"/>
    <x v="0"/>
  </r>
  <r>
    <x v="3"/>
    <x v="0"/>
  </r>
  <r>
    <x v="4"/>
    <x v="5"/>
  </r>
  <r>
    <x v="5"/>
    <x v="0"/>
  </r>
  <r>
    <x v="6"/>
    <x v="0"/>
  </r>
  <r>
    <x v="7"/>
    <x v="5"/>
  </r>
  <r>
    <x v="8"/>
    <x v="0"/>
  </r>
  <r>
    <x v="9"/>
    <x v="0"/>
  </r>
  <r>
    <x v="10"/>
    <x v="0"/>
  </r>
  <r>
    <x v="11"/>
    <x v="5"/>
  </r>
  <r>
    <x v="12"/>
    <x v="0"/>
  </r>
  <r>
    <x v="13"/>
    <x v="0"/>
  </r>
  <r>
    <x v="14"/>
    <x v="0"/>
  </r>
  <r>
    <x v="15"/>
    <x v="0"/>
  </r>
  <r>
    <x v="16"/>
    <x v="0"/>
  </r>
  <r>
    <x v="17"/>
    <x v="5"/>
  </r>
  <r>
    <x v="18"/>
    <x v="0"/>
  </r>
  <r>
    <x v="19"/>
    <x v="0"/>
  </r>
  <r>
    <x v="20"/>
    <x v="0"/>
  </r>
  <r>
    <x v="21"/>
    <x v="0"/>
  </r>
  <r>
    <x v="22"/>
    <x v="0"/>
  </r>
  <r>
    <x v="23"/>
    <x v="0"/>
  </r>
  <r>
    <x v="24"/>
    <x v="0"/>
  </r>
  <r>
    <x v="25"/>
    <x v="0"/>
  </r>
  <r>
    <x v="26"/>
    <x v="0"/>
  </r>
  <r>
    <x v="27"/>
    <x v="5"/>
  </r>
  <r>
    <x v="28"/>
    <x v="0"/>
  </r>
  <r>
    <x v="29"/>
    <x v="0"/>
  </r>
  <r>
    <x v="30"/>
    <x v="0"/>
  </r>
  <r>
    <x v="31"/>
    <x v="5"/>
  </r>
  <r>
    <x v="32"/>
    <x v="0"/>
  </r>
  <r>
    <x v="33"/>
    <x v="0"/>
  </r>
  <r>
    <x v="34"/>
    <x v="0"/>
  </r>
  <r>
    <x v="35"/>
    <x v="0"/>
  </r>
  <r>
    <x v="36"/>
    <x v="0"/>
  </r>
  <r>
    <x v="37"/>
    <x v="0"/>
  </r>
  <r>
    <x v="38"/>
    <x v="5"/>
  </r>
  <r>
    <x v="39"/>
    <x v="0"/>
  </r>
  <r>
    <x v="40"/>
    <x v="5"/>
  </r>
  <r>
    <x v="41"/>
    <x v="0"/>
  </r>
  <r>
    <x v="42"/>
    <x v="0"/>
  </r>
  <r>
    <x v="43"/>
    <x v="0"/>
  </r>
  <r>
    <x v="44"/>
    <x v="5"/>
  </r>
  <r>
    <x v="45"/>
    <x v="0"/>
  </r>
  <r>
    <x v="46"/>
    <x v="0"/>
  </r>
  <r>
    <x v="47"/>
    <x v="0"/>
  </r>
  <r>
    <x v="48"/>
    <x v="5"/>
  </r>
  <r>
    <x v="49"/>
    <x v="0"/>
  </r>
  <r>
    <x v="50"/>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1">
  <r>
    <s v="ALC"/>
    <s v="ALC"/>
    <s v="Dhanesh Mehta"/>
    <s v="Michael Kennedy"/>
    <x v="0"/>
    <m/>
    <s v="michael.kennedy@here.com"/>
    <s v="Neither Agree or Disagre"/>
    <s v="Neither Agree or Disagre"/>
    <s v="Strongly Disagree"/>
    <s v="Disagree"/>
    <s v="Strongly Disagree"/>
    <n v="1"/>
    <s v="Fortnightly"/>
  </r>
  <r>
    <s v="ALC"/>
    <s v="ALC"/>
    <s v="Dhanesh Mehta"/>
    <s v="Alexander Dominique"/>
    <x v="1"/>
    <m/>
    <s v="alexander.dominique@here.com"/>
    <s v="Disagree"/>
    <m/>
    <m/>
    <m/>
    <m/>
    <n v="10"/>
    <s v="Weekly"/>
  </r>
  <r>
    <s v="ALC"/>
    <s v="Localization"/>
    <s v="Dhanesh Mehta"/>
    <s v="Girish Vengaserry"/>
    <x v="2"/>
    <m/>
    <s v="girish.vengaserry@here.com"/>
    <s v="Agree"/>
    <m/>
    <m/>
    <s v="Strongly Disagree"/>
    <s v="Neither Agree or Disagre"/>
    <n v="3"/>
    <s v="No Connect"/>
  </r>
  <r>
    <s v="ALC"/>
    <s v="Localization"/>
    <s v="Dhanesh Mehta"/>
    <s v="Ravindar Dayachand"/>
    <x v="3"/>
    <m/>
    <s v="ravindar.dayachand@here.com"/>
    <s v="Strongly Agree"/>
    <m/>
    <s v="Neither Agree or Disagre"/>
    <s v="Neither Agree or Disagre"/>
    <m/>
    <n v="4"/>
    <s v="Fortnightly"/>
  </r>
  <r>
    <s v="ALC"/>
    <s v="ALC"/>
    <s v="Dhanesh Mehta"/>
    <s v="Johan Beerens"/>
    <x v="4"/>
    <m/>
    <s v="johan.beerens@here.com"/>
    <s v="Neither Agree or Disagre"/>
    <m/>
    <m/>
    <s v="Disagree"/>
    <s v="Strongly Disagree"/>
    <n v="6"/>
    <s v="Ad Hoc"/>
  </r>
  <r>
    <s v="ALC"/>
    <s v="ALC"/>
    <s v="Dhanesh Mehta"/>
    <s v="Nitin Kare"/>
    <x v="5"/>
    <m/>
    <s v="nitin.kare@here.com"/>
    <s v="Agree"/>
    <m/>
    <s v="Disagree"/>
    <m/>
    <m/>
    <n v="7"/>
    <s v="Weekly"/>
  </r>
  <r>
    <s v="ALC"/>
    <s v="ALC"/>
    <s v="Dhanesh Mehta"/>
    <s v="Nicholas Hatcher"/>
    <x v="6"/>
    <m/>
    <s v="nicholas.hatcher@here.com"/>
    <s v="Agree"/>
    <m/>
    <m/>
    <s v="Neither Agree or Disagre"/>
    <m/>
    <n v="7"/>
    <s v="Ad Hoc"/>
  </r>
  <r>
    <s v="ALC"/>
    <s v="ALC"/>
    <s v="Dhanesh Mehta"/>
    <s v="Syed Fahim Akhtar"/>
    <x v="7"/>
    <m/>
    <s v="syed.akhtar@here.com"/>
    <m/>
    <s v="Neither Agree or Disagre"/>
    <s v="Disagree"/>
    <s v="Strongly Disagree"/>
    <s v="Disagree"/>
    <n v="7"/>
    <s v="Monthly"/>
  </r>
  <r>
    <s v="ALC"/>
    <s v="ALC"/>
    <s v="Dhanesh Mehta"/>
    <s v="Riya Matai"/>
    <x v="8"/>
    <m/>
    <s v="riya.matai@here.com"/>
    <s v="Strongly Agree"/>
    <m/>
    <s v="Neither Agree or Disagre"/>
    <m/>
    <m/>
    <n v="3"/>
    <s v="Ad Hoc"/>
  </r>
  <r>
    <s v="ALC"/>
    <s v="Here Lanes"/>
    <s v="Dhanesh Mehta"/>
    <s v="Devendra Samant"/>
    <x v="9"/>
    <m/>
    <s v="devendra.samant@here.com"/>
    <m/>
    <m/>
    <s v="Strongly Disagree"/>
    <m/>
    <m/>
    <n v="3"/>
    <s v="No Connect"/>
  </r>
  <r>
    <s v="ALC"/>
    <s v="Localization &amp; HDLM Lanes"/>
    <s v="Dhanesh Mehta"/>
    <s v="Matt Melvin"/>
    <x v="10"/>
    <m/>
    <s v="matt.melvin@here.com"/>
    <m/>
    <m/>
    <m/>
    <s v="Neither Agree or Disagre"/>
    <m/>
    <n v="4"/>
    <s v="No Connect"/>
  </r>
  <r>
    <s v="ALC"/>
    <s v="HDLM Lanes"/>
    <s v="Dhanesh Mehta"/>
    <s v="Andrew Wilson"/>
    <x v="11"/>
    <m/>
    <s v="andrew.wilson@here.com"/>
    <m/>
    <m/>
    <s v="Disagree"/>
    <s v="Disagree"/>
    <s v="Strongly Disagree"/>
    <n v="3"/>
    <s v="Ad Hoc"/>
  </r>
  <r>
    <s v="ALC"/>
    <s v="ALC"/>
    <s v="Dhanesh Mehta"/>
    <s v="Oliver Monson"/>
    <x v="12"/>
    <m/>
    <s v="oliver.monson@here.com"/>
    <m/>
    <m/>
    <m/>
    <m/>
    <m/>
    <n v="3"/>
    <s v="Monthly"/>
  </r>
  <r>
    <s v="ALC"/>
    <s v="HDLM Lanes"/>
    <s v="Dhanesh Mehta"/>
    <s v="Justin Link"/>
    <x v="13"/>
    <m/>
    <s v="justin.link@here.com"/>
    <m/>
    <m/>
    <m/>
    <s v="Neither Agree or Disagre"/>
    <m/>
    <n v="5"/>
    <s v="Weekly"/>
  </r>
  <r>
    <s v="ALC"/>
    <s v="HDLM Lanes"/>
    <s v="Dhanesh Mehta"/>
    <s v="Kristin Thompson"/>
    <x v="14"/>
    <m/>
    <s v="kristin.thompson@here.com"/>
    <m/>
    <m/>
    <s v="Strongly Disagree"/>
    <s v="Strongly Disagree"/>
    <m/>
    <m/>
    <s v="Monthly"/>
  </r>
  <r>
    <s v="ALC"/>
    <s v="HDLM Lanes"/>
    <s v="Dhanesh Mehta"/>
    <s v="Michael Deuerling"/>
    <x v="15"/>
    <m/>
    <s v="michael.deuerling@here.com"/>
    <m/>
    <m/>
    <m/>
    <m/>
    <m/>
    <n v="4"/>
    <s v="Ad Hoc"/>
  </r>
  <r>
    <s v="ALC"/>
    <s v="HDLM Lanes"/>
    <s v="Dhanesh Mehta"/>
    <s v="Jeremy Young"/>
    <x v="16"/>
    <m/>
    <s v="jeremy.3.young@here.com"/>
    <s v="Neither Agree or Disagre"/>
    <m/>
    <s v="Disagree"/>
    <m/>
    <m/>
    <m/>
    <s v="Monthly"/>
  </r>
  <r>
    <s v="ALC"/>
    <s v="Localization &amp; HDLM Lanes"/>
    <s v="Dhanesh Mehta"/>
    <s v="Phillip Bernard"/>
    <x v="17"/>
    <m/>
    <s v="phillip.bernard@here.com"/>
    <m/>
    <m/>
    <m/>
    <s v="Strongly Disagree"/>
    <s v="Disagree"/>
    <n v="3"/>
    <s v="No Connect"/>
  </r>
  <r>
    <s v="ALC"/>
    <s v="HDLM Lanes"/>
    <s v="Dhanesh Mehta"/>
    <s v="Olivier Ricordel"/>
    <x v="18"/>
    <m/>
    <s v="olivier.ricordel@here.com"/>
    <m/>
    <m/>
    <m/>
    <m/>
    <m/>
    <n v="6"/>
    <s v="Fortnightly"/>
  </r>
  <r>
    <s v="ALC"/>
    <s v="HDLM Lanes"/>
    <s v="Dhanesh Mehta"/>
    <s v="Raymond O'Mara"/>
    <x v="19"/>
    <m/>
    <s v="raymond.omara@here.com"/>
    <m/>
    <m/>
    <m/>
    <m/>
    <m/>
    <m/>
    <s v="Weekly"/>
  </r>
  <r>
    <s v="ALC"/>
    <s v="ALC"/>
    <s v="Dhanesh Mehta"/>
    <s v="Sheila Nedelcu"/>
    <x v="20"/>
    <m/>
    <s v="sheila.nedelcu@here.com"/>
    <m/>
    <m/>
    <m/>
    <m/>
    <m/>
    <n v="6"/>
    <s v="Monthly"/>
  </r>
  <r>
    <s v="ALC"/>
    <s v="Here Lanes"/>
    <s v="Dhanesh Mehta"/>
    <s v="Alind Chonkar"/>
    <x v="21"/>
    <m/>
    <s v="alind.chonkar@here.com"/>
    <m/>
    <m/>
    <m/>
    <s v="Disagree"/>
    <m/>
    <m/>
    <s v="Weekly"/>
  </r>
  <r>
    <s v="ALC"/>
    <s v="ALC"/>
    <s v="Dhanesh Mehta"/>
    <s v="Tony Rzany"/>
    <x v="22"/>
    <m/>
    <s v="tony.rzany@here.com"/>
    <s v="Neither Agree or Disagre"/>
    <m/>
    <s v="Strongly Disagree"/>
    <m/>
    <m/>
    <n v="2"/>
    <s v="No Connect"/>
  </r>
  <r>
    <s v="ALC"/>
    <s v="Localization"/>
    <s v="Dhanesh Mehta"/>
    <s v="William Marks"/>
    <x v="23"/>
    <m/>
    <s v="william.marks@here.com"/>
    <m/>
    <m/>
    <m/>
    <s v="Neither Agree or Disagre"/>
    <m/>
    <m/>
    <s v="Ad Hoc"/>
  </r>
  <r>
    <s v="ALC"/>
    <s v="Here Lanes"/>
    <s v="Dhanesh Mehta"/>
    <s v="Ben Woodley"/>
    <x v="24"/>
    <m/>
    <s v="ben.woodley@here.com"/>
    <m/>
    <m/>
    <m/>
    <m/>
    <m/>
    <m/>
    <s v="Monthly"/>
  </r>
  <r>
    <s v="ALC"/>
    <s v="Here Lanes"/>
    <s v="Dhanesh Mehta"/>
    <s v="Andrea Gagliardi"/>
    <x v="25"/>
    <m/>
    <s v="andrea.gagliardi@here.com"/>
    <m/>
    <m/>
    <m/>
    <m/>
    <m/>
    <n v="3"/>
    <s v="No Connect"/>
  </r>
  <r>
    <s v="ALC"/>
    <s v="Here Lanes"/>
    <s v="Dhanesh Mehta"/>
    <s v="Hussain Khan"/>
    <x v="26"/>
    <m/>
    <s v="hussain.khan@here.com"/>
    <m/>
    <m/>
    <s v="Disagree"/>
    <s v="Strongly Disagree"/>
    <m/>
    <m/>
    <s v="Fortnightly"/>
  </r>
  <r>
    <s v="ALC"/>
    <s v="Here Lanes"/>
    <s v="Dhanesh Mehta"/>
    <s v="Sagar Zaveri"/>
    <x v="27"/>
    <m/>
    <s v="sagar.zaveri@here.com"/>
    <m/>
    <m/>
    <m/>
    <m/>
    <s v="Strongly Disagree"/>
    <n v="4"/>
    <s v="No Connect"/>
  </r>
  <r>
    <s v="ALC"/>
    <s v="ALC"/>
    <s v="Dhanesh Mehta"/>
    <s v="Eugene Feld"/>
    <x v="28"/>
    <m/>
    <s v="eugene.feld@here.com"/>
    <s v="Agree"/>
    <m/>
    <m/>
    <m/>
    <m/>
    <m/>
    <s v="Fortnightly"/>
  </r>
  <r>
    <s v="ALC"/>
    <s v="HDLM Lanes"/>
    <s v="Dhanesh Mehta"/>
    <s v="Sneha Chaphalkar"/>
    <x v="29"/>
    <m/>
    <s v="sneha.chaphalkar@here.com"/>
    <m/>
    <s v="Strongly Agree"/>
    <m/>
    <s v="Neither Agree or Disagre"/>
    <m/>
    <n v="4"/>
    <s v="Ad Hoc"/>
  </r>
  <r>
    <s v="ALC"/>
    <s v="HDLM Lanes"/>
    <s v="Dhanesh Mehta"/>
    <s v="Michael Weiland"/>
    <x v="30"/>
    <m/>
    <s v="michael.weiland@here.com"/>
    <m/>
    <m/>
    <m/>
    <m/>
    <m/>
    <m/>
    <s v="Monthly"/>
  </r>
  <r>
    <s v="ALC"/>
    <s v="Here Lanes"/>
    <s v="Dhanesh Mehta"/>
    <s v="Sjon Kuijpers"/>
    <x v="31"/>
    <m/>
    <s v="sjon.kuijpers@here.com"/>
    <m/>
    <m/>
    <m/>
    <s v="Strongly Disagree"/>
    <s v="Strongly Disagree"/>
    <m/>
    <s v="Weekly"/>
  </r>
  <r>
    <s v="ALC"/>
    <s v="ALC"/>
    <s v="Dhanesh Mehta"/>
    <s v="Rainu Pierce"/>
    <x v="32"/>
    <m/>
    <s v="rainu.pierce@here.com"/>
    <m/>
    <m/>
    <m/>
    <m/>
    <m/>
    <m/>
    <s v="Fortnightly"/>
  </r>
  <r>
    <s v="ALC"/>
    <s v="Here Lanes"/>
    <s v="Dhanesh Mehta"/>
    <s v="Susan Petr"/>
    <x v="33"/>
    <m/>
    <s v="susan.petr@here.com"/>
    <m/>
    <m/>
    <m/>
    <m/>
    <m/>
    <m/>
    <s v="Weekly"/>
  </r>
  <r>
    <s v="ALC"/>
    <s v="Here Lanes"/>
    <s v="Dhanesh Mehta"/>
    <s v="Nancy Womack"/>
    <x v="34"/>
    <m/>
    <s v="nancy.womack@here.com"/>
    <s v="Neither Agree or Disagre"/>
    <m/>
    <s v="Disagree"/>
    <m/>
    <m/>
    <m/>
    <s v="No Connect"/>
  </r>
  <r>
    <s v="ALC"/>
    <s v="Here Lanes"/>
    <s v="Dhanesh Mehta"/>
    <s v="Andrey Ulianov"/>
    <x v="35"/>
    <m/>
    <s v="andrey.ulianov@here.com"/>
    <m/>
    <s v="Agree"/>
    <m/>
    <m/>
    <m/>
    <m/>
    <s v="Weekly"/>
  </r>
  <r>
    <s v="ALC"/>
    <s v="Here Lanes"/>
    <s v="Dhanesh Mehta"/>
    <s v="Ashutosh Gawade"/>
    <x v="36"/>
    <m/>
    <s v="ashutosh.gawade@here.com"/>
    <m/>
    <m/>
    <m/>
    <s v="Disagree"/>
    <m/>
    <m/>
    <s v="Monthly"/>
  </r>
  <r>
    <s v="ALC"/>
    <s v="Localization"/>
    <s v="Dhanesh Mehta"/>
    <s v="Guy Romano"/>
    <x v="37"/>
    <m/>
    <s v="guy.romano@here.com"/>
    <m/>
    <m/>
    <m/>
    <m/>
    <m/>
    <n v="3"/>
    <s v="No Connect"/>
  </r>
  <r>
    <s v="ALC"/>
    <s v="MFA"/>
    <s v="Dhanesh Mehta"/>
    <s v="Uyen Nguyen"/>
    <x v="38"/>
    <m/>
    <s v="uyen.nguyen@here.com"/>
    <m/>
    <m/>
    <m/>
    <m/>
    <s v="Disagree"/>
    <m/>
    <s v="Fortnightly"/>
  </r>
  <r>
    <s v="ALC"/>
    <s v="ALC"/>
    <s v="Dhanesh Mehta"/>
    <s v="Vikas Wadhwa"/>
    <x v="39"/>
    <m/>
    <s v="vikas.wadhwa@here.com"/>
    <m/>
    <m/>
    <m/>
    <s v="Strongly Disagree"/>
    <m/>
    <m/>
    <s v="Monthly"/>
  </r>
  <r>
    <s v="ALC"/>
    <s v="ALC"/>
    <s v="Dhanesh Mehta"/>
    <s v="Nisha Sharma"/>
    <x v="40"/>
    <m/>
    <s v="nisha.sharma@here.com"/>
    <m/>
    <m/>
    <s v="Strongly Disagree"/>
    <m/>
    <s v="Disagree"/>
    <m/>
    <s v="No Connect"/>
  </r>
  <r>
    <s v="ALC"/>
    <s v="HDLM Lanes"/>
    <s v="Dhanesh Mehta"/>
    <s v="James Panek"/>
    <x v="41"/>
    <m/>
    <s v="james.panek@here.com"/>
    <m/>
    <m/>
    <m/>
    <m/>
    <m/>
    <m/>
    <s v="Weekly"/>
  </r>
  <r>
    <s v="ALC"/>
    <s v="HDLM Lanes"/>
    <s v="Dhanesh Mehta"/>
    <s v="Krzysztof Makiel"/>
    <x v="42"/>
    <m/>
    <s v="krzysztof.makiel@here.com"/>
    <m/>
    <m/>
    <m/>
    <m/>
    <m/>
    <m/>
    <s v="Ad Hoc"/>
  </r>
  <r>
    <s v="ALC"/>
    <s v="HDLM Lanes"/>
    <s v="Dhanesh Mehta"/>
    <s v="Juilo Arrioja"/>
    <x v="43"/>
    <m/>
    <s v="juilo.arrioja@here.com"/>
    <m/>
    <m/>
    <m/>
    <m/>
    <m/>
    <n v="10"/>
    <s v="Monthly"/>
  </r>
  <r>
    <s v="ALC"/>
    <s v="ALC"/>
    <s v="Dhanesh Mehta"/>
    <s v="Don Peterson"/>
    <x v="44"/>
    <m/>
    <s v="don.peterson@here.com"/>
    <m/>
    <s v="Neither Agree or Disagre"/>
    <m/>
    <s v="Strongly Disagree"/>
    <s v="Strongly Disagree"/>
    <m/>
    <s v="No Connect"/>
  </r>
  <r>
    <s v="ALC"/>
    <s v="ALC"/>
    <s v="Dhanesh Mehta"/>
    <s v="Anuradha Shenoy"/>
    <x v="45"/>
    <m/>
    <s v="anuradha.shenoy@here.com"/>
    <m/>
    <m/>
    <m/>
    <m/>
    <m/>
    <n v="5"/>
    <s v="Weekly"/>
  </r>
  <r>
    <s v="ALC"/>
    <s v="HDLM Lanes"/>
    <s v="Dhanesh Mehta"/>
    <s v="Max Berggren"/>
    <x v="46"/>
    <m/>
    <s v="max.berggren@here.com"/>
    <m/>
    <s v="Strongly Disagree"/>
    <m/>
    <m/>
    <m/>
    <m/>
    <s v="Monthly"/>
  </r>
  <r>
    <s v="ALC"/>
    <s v="ALC"/>
    <s v="Dhanesh Mehta"/>
    <s v="Nisha Saini"/>
    <x v="47"/>
    <m/>
    <s v="nisha.saini@here.com"/>
    <m/>
    <m/>
    <m/>
    <m/>
    <m/>
    <m/>
    <s v="Ad Hoc"/>
  </r>
  <r>
    <s v="ALC"/>
    <s v="MFA"/>
    <s v="Sujit Patil"/>
    <s v="Adhithya Rajan"/>
    <x v="48"/>
    <m/>
    <s v="adhithya.rajan@here.com"/>
    <m/>
    <m/>
    <m/>
    <m/>
    <s v="Strongly Disagree"/>
    <m/>
    <s v="Fortnightly"/>
  </r>
  <r>
    <s v="ALC"/>
    <s v="MFA"/>
    <s v="Sujit Patil"/>
    <s v="Katherine Aanensen"/>
    <x v="49"/>
    <m/>
    <s v="katherine.aanensen@here.com"/>
    <s v="Neither Agree or Disagre"/>
    <m/>
    <m/>
    <m/>
    <m/>
    <m/>
    <s v="Fortnightly"/>
  </r>
  <r>
    <s v="ALC"/>
    <s v="MFA"/>
    <s v="Sujit Patil"/>
    <s v="Brandon Ludwig"/>
    <x v="50"/>
    <m/>
    <s v="brandon.ludwig@here.com"/>
    <s v="Strongly Disagree"/>
    <s v="Disagree"/>
    <s v="Disagree"/>
    <s v="Disagree"/>
    <s v="Disagree"/>
    <n v="8"/>
    <s v="Fortnightly"/>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r>
    <m/>
    <m/>
    <m/>
    <m/>
    <x v="51"/>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4">
  <r>
    <x v="0"/>
    <x v="0"/>
  </r>
  <r>
    <x v="1"/>
    <x v="0"/>
  </r>
  <r>
    <x v="2"/>
    <x v="0"/>
  </r>
  <r>
    <x v="3"/>
    <x v="0"/>
  </r>
  <r>
    <x v="4"/>
    <x v="0"/>
  </r>
  <r>
    <x v="5"/>
    <x v="0"/>
  </r>
  <r>
    <x v="6"/>
    <x v="0"/>
  </r>
  <r>
    <x v="7"/>
    <x v="0"/>
  </r>
  <r>
    <x v="8"/>
    <x v="0"/>
  </r>
  <r>
    <x v="9"/>
    <x v="0"/>
  </r>
  <r>
    <x v="10"/>
    <x v="0"/>
  </r>
  <r>
    <x v="11"/>
    <x v="0"/>
  </r>
  <r>
    <x v="12"/>
    <x v="0"/>
  </r>
  <r>
    <x v="13"/>
    <x v="0"/>
  </r>
  <r>
    <x v="14"/>
    <x v="0"/>
  </r>
  <r>
    <x v="15"/>
    <x v="0"/>
  </r>
  <r>
    <x v="16"/>
    <x v="0"/>
  </r>
  <r>
    <x v="17"/>
    <x v="0"/>
  </r>
  <r>
    <x v="18"/>
    <x v="0"/>
  </r>
  <r>
    <x v="0"/>
    <x v="1"/>
  </r>
  <r>
    <x v="1"/>
    <x v="1"/>
  </r>
  <r>
    <x v="19"/>
    <x v="1"/>
  </r>
  <r>
    <x v="20"/>
    <x v="1"/>
  </r>
  <r>
    <x v="3"/>
    <x v="1"/>
  </r>
  <r>
    <x v="4"/>
    <x v="1"/>
  </r>
  <r>
    <x v="21"/>
    <x v="1"/>
  </r>
  <r>
    <x v="22"/>
    <x v="1"/>
  </r>
  <r>
    <x v="5"/>
    <x v="1"/>
  </r>
  <r>
    <x v="8"/>
    <x v="1"/>
  </r>
  <r>
    <x v="10"/>
    <x v="1"/>
  </r>
  <r>
    <x v="23"/>
    <x v="1"/>
  </r>
  <r>
    <x v="24"/>
    <x v="1"/>
  </r>
  <r>
    <x v="14"/>
    <x v="1"/>
  </r>
  <r>
    <x v="25"/>
    <x v="1"/>
  </r>
  <r>
    <x v="26"/>
    <x v="1"/>
  </r>
  <r>
    <x v="27"/>
    <x v="1"/>
  </r>
  <r>
    <x v="28"/>
    <x v="1"/>
  </r>
  <r>
    <x v="17"/>
    <x v="1"/>
  </r>
  <r>
    <x v="18"/>
    <x v="1"/>
  </r>
  <r>
    <x v="29"/>
    <x v="1"/>
  </r>
  <r>
    <x v="30"/>
    <x v="1"/>
  </r>
  <r>
    <x v="31"/>
    <x v="1"/>
  </r>
  <r>
    <x v="32"/>
    <x v="1"/>
  </r>
  <r>
    <x v="0"/>
    <x v="2"/>
  </r>
  <r>
    <x v="1"/>
    <x v="2"/>
  </r>
  <r>
    <x v="19"/>
    <x v="2"/>
  </r>
  <r>
    <x v="3"/>
    <x v="2"/>
  </r>
  <r>
    <x v="5"/>
    <x v="2"/>
  </r>
  <r>
    <x v="6"/>
    <x v="2"/>
  </r>
  <r>
    <x v="33"/>
    <x v="2"/>
  </r>
  <r>
    <x v="10"/>
    <x v="2"/>
  </r>
  <r>
    <x v="34"/>
    <x v="2"/>
  </r>
  <r>
    <x v="23"/>
    <x v="2"/>
  </r>
  <r>
    <x v="35"/>
    <x v="2"/>
  </r>
  <r>
    <x v="14"/>
    <x v="2"/>
  </r>
  <r>
    <x v="26"/>
    <x v="2"/>
  </r>
  <r>
    <x v="36"/>
    <x v="2"/>
  </r>
  <r>
    <x v="17"/>
    <x v="2"/>
  </r>
  <r>
    <x v="29"/>
    <x v="2"/>
  </r>
  <r>
    <x v="37"/>
    <x v="2"/>
  </r>
  <r>
    <x v="0"/>
    <x v="3"/>
  </r>
  <r>
    <x v="1"/>
    <x v="3"/>
  </r>
  <r>
    <x v="2"/>
    <x v="3"/>
  </r>
  <r>
    <x v="4"/>
    <x v="3"/>
  </r>
  <r>
    <x v="5"/>
    <x v="3"/>
  </r>
  <r>
    <x v="6"/>
    <x v="3"/>
  </r>
  <r>
    <x v="8"/>
    <x v="3"/>
  </r>
  <r>
    <x v="9"/>
    <x v="3"/>
  </r>
  <r>
    <x v="11"/>
    <x v="3"/>
  </r>
  <r>
    <x v="38"/>
    <x v="3"/>
  </r>
  <r>
    <x v="12"/>
    <x v="3"/>
  </r>
  <r>
    <x v="26"/>
    <x v="3"/>
  </r>
  <r>
    <x v="16"/>
    <x v="3"/>
  </r>
  <r>
    <x v="39"/>
    <x v="3"/>
  </r>
  <r>
    <x v="40"/>
    <x v="3"/>
  </r>
  <r>
    <x v="41"/>
    <x v="3"/>
  </r>
  <r>
    <x v="30"/>
    <x v="3"/>
  </r>
  <r>
    <x v="31"/>
    <x v="3"/>
  </r>
  <r>
    <x v="42"/>
    <x v="3"/>
  </r>
  <r>
    <x v="0"/>
    <x v="4"/>
  </r>
  <r>
    <x v="1"/>
    <x v="4"/>
  </r>
  <r>
    <x v="2"/>
    <x v="4"/>
  </r>
  <r>
    <x v="20"/>
    <x v="4"/>
  </r>
  <r>
    <x v="22"/>
    <x v="4"/>
  </r>
  <r>
    <x v="7"/>
    <x v="4"/>
  </r>
  <r>
    <x v="10"/>
    <x v="4"/>
  </r>
  <r>
    <x v="38"/>
    <x v="4"/>
  </r>
  <r>
    <x v="12"/>
    <x v="4"/>
  </r>
  <r>
    <x v="43"/>
    <x v="4"/>
  </r>
  <r>
    <x v="16"/>
    <x v="4"/>
  </r>
  <r>
    <x v="36"/>
    <x v="4"/>
  </r>
  <r>
    <x v="18"/>
    <x v="4"/>
  </r>
  <r>
    <x v="30"/>
    <x v="4"/>
  </r>
  <r>
    <x v="37"/>
    <x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s v="Strongly Agree"/>
    <s v="Strongly Agree"/>
    <s v="Strongly Agree"/>
    <s v="Strongly Agree"/>
    <s v="Strongly Agree"/>
  </r>
  <r>
    <x v="1"/>
    <s v="Agree"/>
    <s v="Agree"/>
    <s v="Agree"/>
    <s v="Agree"/>
    <s v="Agree"/>
  </r>
  <r>
    <x v="2"/>
    <s v="Neither Agree or Disagree"/>
    <s v="Neither Agree or Disagree"/>
    <s v="Neither Agree or Disagree"/>
    <s v="Neither Agree or Disagree"/>
    <s v="Neither Agree or Disagree"/>
  </r>
  <r>
    <x v="3"/>
    <s v="Disagree"/>
    <s v="Disagree"/>
    <s v="Disagree"/>
    <s v="Disagree"/>
    <s v="Disagree"/>
  </r>
  <r>
    <x v="4"/>
    <s v="Strongly Disagree"/>
    <s v="Strongly Disagree"/>
    <s v="Strongly Disagree"/>
    <s v="Strongly Disagree"/>
    <s v="Strongly Disagree"/>
  </r>
  <r>
    <x v="5"/>
    <s v="Agree"/>
    <s v="Disagree"/>
    <s v="Disagree"/>
    <s v="Agree"/>
    <s v="Agree"/>
  </r>
  <r>
    <x v="6"/>
    <s v="Neither Agree or Disagree"/>
    <s v="Strongly Agree"/>
    <s v="Agree"/>
    <s v="Strongly Agree"/>
    <s v="Strongly Agree"/>
  </r>
  <r>
    <x v="7"/>
    <s v="Strongly Disagree"/>
    <s v="Agree"/>
    <s v="Strongly Agree"/>
    <s v="Disagree"/>
    <s v="Disagree"/>
  </r>
  <r>
    <x v="8"/>
    <s v="Strongly Agree"/>
    <s v="Strongly Disagree"/>
    <s v="Neither Agree or Disagree"/>
    <s v="Agree"/>
    <s v="Strongly Disagree"/>
  </r>
  <r>
    <x v="9"/>
    <s v="Disagree"/>
    <s v="Disagree"/>
    <s v="Disagree"/>
    <s v="Neither Agree or Disagree"/>
    <s v="Neither Agree or Disagree"/>
  </r>
  <r>
    <x v="10"/>
    <s v="Agree"/>
    <s v="Agree"/>
    <s v="Strongly Agree"/>
    <s v="Agree"/>
    <s v="Agree"/>
  </r>
  <r>
    <x v="11"/>
    <s v="Strongly Disagree"/>
    <s v="Disagree"/>
    <s v="Agree"/>
    <s v="Strongly Disagree"/>
    <s v="Strongly Agree"/>
  </r>
  <r>
    <x v="12"/>
    <s v="Neither Agree or Disagree"/>
    <s v="Strongly Disagree"/>
    <s v="Neither Agree or Disagree"/>
    <s v="Agree"/>
    <s v="Agree"/>
  </r>
  <r>
    <x v="13"/>
    <s v="Strongly Agree"/>
    <s v="Disagree"/>
    <s v="Agree"/>
    <s v="Neither Agree or Disagree"/>
    <s v="Strongly Disagree"/>
  </r>
  <r>
    <x v="14"/>
    <s v="Strongly Disagree"/>
    <s v="Disagree"/>
    <s v="Strongly Disagree"/>
    <s v="Disagree"/>
    <s v="Agree"/>
  </r>
  <r>
    <x v="15"/>
    <s v="Strongly Disagree"/>
    <s v="Strongly Agree"/>
    <s v="Strongly Disagree"/>
    <s v="Strongly Disagree"/>
    <s v="Neither Agree or Disagree"/>
  </r>
  <r>
    <x v="16"/>
    <s v="Agree"/>
    <s v="Agree"/>
    <s v="Strongly Disagree"/>
    <s v="Neither Agree or Disagree"/>
    <m/>
  </r>
  <r>
    <x v="17"/>
    <s v="Strongly Disagree"/>
    <s v="Neither Agree or Disagree"/>
    <s v="Agree"/>
    <s v="Agree"/>
    <s v="Strongly Disagree"/>
  </r>
  <r>
    <x v="18"/>
    <s v="Agree"/>
    <s v="Agree"/>
    <s v="Agree"/>
    <s v="Strongly Agree"/>
    <m/>
  </r>
  <r>
    <x v="19"/>
    <s v="Strongly Disagree"/>
    <s v="Strongly Disagree"/>
    <s v="Agree"/>
    <s v="Disagree"/>
    <s v="Agree"/>
  </r>
  <r>
    <x v="20"/>
    <s v="Disagree"/>
    <s v="Agree"/>
    <s v="Neither Agree or Disagree"/>
    <s v="Disagree"/>
    <s v="Strongly Agree"/>
  </r>
  <r>
    <x v="21"/>
    <s v="Agree"/>
    <s v="Agree"/>
    <s v="Agree"/>
    <s v="Strongly Agree"/>
    <m/>
  </r>
  <r>
    <x v="22"/>
    <s v="Strongly Disagree"/>
    <s v="Disagree"/>
    <s v="Strongly Disagree"/>
    <s v="Agree"/>
    <s v="Disagree"/>
  </r>
  <r>
    <x v="23"/>
    <s v="Strongly Disagree"/>
    <s v="Strongly Agree"/>
    <s v="Agree"/>
    <s v="Disagree"/>
    <s v="Agree"/>
  </r>
  <r>
    <x v="24"/>
    <s v="Agree"/>
    <s v="Agree"/>
    <s v="Disagree"/>
    <s v="Agree"/>
    <s v="Agree"/>
  </r>
  <r>
    <x v="25"/>
    <s v="Neither Agree or Disagree"/>
    <s v="Disagree"/>
    <s v="Strongly Disagree"/>
    <s v="Neither Agree or Disagree"/>
    <s v="Agree"/>
  </r>
  <r>
    <x v="26"/>
    <s v="Agree"/>
    <s v="Agree"/>
    <s v="Strongly Agree"/>
    <s v="Strongly Disagree"/>
    <s v="Strongly Disagree"/>
  </r>
  <r>
    <x v="27"/>
    <s v="Strongly Disagree"/>
    <s v="Neither Agree or Disagree"/>
    <s v="Neither Agree or Disagree"/>
    <s v="Strongly Disagree"/>
    <s v="Disagree"/>
  </r>
  <r>
    <x v="28"/>
    <s v="Agree"/>
    <s v="Disagree"/>
    <s v="Agree"/>
    <s v="Neither Agree or Disagree"/>
    <s v="Agree"/>
  </r>
  <r>
    <x v="29"/>
    <s v="Neither Agree or Disagree"/>
    <s v="Strongly Agree"/>
    <s v="Disagree"/>
    <s v="Agree"/>
    <s v="Strongly Disagree"/>
  </r>
  <r>
    <x v="30"/>
    <s v="Strongly Disagree"/>
    <s v="Agree"/>
    <s v="Agree"/>
    <s v="Strongly Agree"/>
    <s v="Agree"/>
  </r>
  <r>
    <x v="31"/>
    <s v="Disagree"/>
    <s v="Strongly Disagree"/>
    <s v="Strongly Disagree"/>
    <s v="Agree"/>
    <s v="Strongly Agree"/>
  </r>
  <r>
    <x v="32"/>
    <s v="Strongly Disagree"/>
    <s v="Agree"/>
    <s v="Agree"/>
    <s v="Neither Agree or Disagree"/>
    <s v="Agree"/>
  </r>
  <r>
    <x v="33"/>
    <s v="Strongly Agree"/>
    <s v="Disagree"/>
    <s v="Neither Agree or Disagree"/>
    <s v="Strongly Agree"/>
    <s v="Strongly Agree"/>
  </r>
  <r>
    <x v="34"/>
    <s v="Agree"/>
    <s v="Agree"/>
    <s v="Agree"/>
    <s v="Agree"/>
    <s v="Agree"/>
  </r>
  <r>
    <x v="35"/>
    <s v="Agree"/>
    <s v="Strongly Disagree"/>
    <s v="Disagree"/>
    <s v="Strongly Disagree"/>
    <s v="Agree"/>
  </r>
  <r>
    <x v="36"/>
    <s v="Strongly Disagree"/>
    <s v="Strongly Agree"/>
    <s v="Agree"/>
    <s v="Disagree"/>
    <s v="Strongly Disagree"/>
  </r>
  <r>
    <x v="37"/>
    <s v="Agree"/>
    <s v="Agree"/>
    <s v="Strongly Disagree"/>
    <s v="Agree"/>
    <s v="Strongly Disagree"/>
  </r>
  <r>
    <x v="38"/>
    <s v="Agree"/>
    <s v="Disagree"/>
    <m/>
    <s v="Strongly Disagree"/>
    <s v="Agree"/>
  </r>
  <r>
    <x v="39"/>
    <s v="Agree"/>
    <s v="Agree"/>
    <s v="Strongly Agree"/>
    <s v="Strongly Disagree"/>
    <s v="Agree"/>
  </r>
  <r>
    <x v="40"/>
    <m/>
    <s v="Disagree"/>
    <s v="Agree"/>
    <s v="Neither Agree or Disagree"/>
    <s v="Agree"/>
  </r>
  <r>
    <x v="41"/>
    <s v="Strongly Agree"/>
    <s v="Agree"/>
    <s v="Agree"/>
    <s v="Agree"/>
    <s v="Agree"/>
  </r>
  <r>
    <x v="42"/>
    <s v="Strongly Disagree"/>
    <s v="Strongly Disagree"/>
    <s v="Strongly Disagree"/>
    <s v="Agree"/>
    <s v="Strongly Agree"/>
  </r>
  <r>
    <x v="43"/>
    <s v="Agree"/>
    <s v="Agree"/>
    <s v="Agree"/>
    <s v="Disagree"/>
    <s v="Agree"/>
  </r>
  <r>
    <x v="44"/>
    <s v="Disagree"/>
    <s v="Strongly Disagree"/>
    <s v="Agree"/>
    <s v="Agree"/>
    <s v="Strongly Disagree"/>
  </r>
  <r>
    <x v="45"/>
    <s v="Agree"/>
    <s v="Strongly Disagree"/>
    <s v="Disagree"/>
    <s v="Strongly Agree"/>
    <s v="Agree"/>
  </r>
  <r>
    <x v="46"/>
    <s v="Agree"/>
    <s v="Disagree"/>
    <s v="Agree"/>
    <s v="Strongly Disagree"/>
    <s v="Strongly Disagree"/>
  </r>
  <r>
    <x v="47"/>
    <s v="Strongly Agree"/>
    <s v="Disagree"/>
    <s v="Agree"/>
    <s v="Disagree"/>
    <m/>
  </r>
  <r>
    <x v="48"/>
    <s v="Neither Agree or Disagree"/>
    <s v="Strongly Agree"/>
    <s v="Disagree"/>
    <s v="Neither Agree or Disagree"/>
    <s v="Strongly Disagree"/>
  </r>
  <r>
    <x v="49"/>
    <s v="Agree"/>
    <s v="Agree"/>
    <s v="Agree"/>
    <s v="Strongly Disagree"/>
    <s v="Agree"/>
  </r>
  <r>
    <x v="50"/>
    <s v="Agree"/>
    <s v="Strongly Disagree"/>
    <s v="Neither Agree or Disagree"/>
    <s v="Strongly Agree"/>
    <s v="Agree"/>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2"/>
    <n v="1"/>
    <n v="0"/>
    <n v="0"/>
    <n v="0"/>
  </r>
  <r>
    <x v="1"/>
    <n v="4"/>
    <n v="1"/>
    <n v="0"/>
    <n v="0"/>
    <n v="0"/>
  </r>
  <r>
    <x v="2"/>
    <n v="6"/>
    <n v="3"/>
    <n v="2"/>
    <n v="6"/>
    <n v="1"/>
  </r>
  <r>
    <x v="3"/>
    <n v="1"/>
    <n v="1"/>
    <n v="7"/>
    <n v="6"/>
    <n v="5"/>
  </r>
  <r>
    <x v="4"/>
    <n v="1"/>
    <n v="1"/>
    <n v="5"/>
    <n v="8"/>
    <n v="7"/>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s v="ALC"/>
    <s v="Dhanesh Mehta"/>
    <x v="0"/>
    <s v="ALC Michael Kennedy"/>
    <m/>
    <s v="michael.kennedy@here.com"/>
    <s v="Neither Agree or Disagre"/>
    <s v="Neither Agree or Disagre"/>
    <s v="Strongly Disagree"/>
    <s v="Disagree"/>
    <s v="Strongly Disagree"/>
    <n v="1"/>
    <x v="0"/>
  </r>
  <r>
    <s v="ALC"/>
    <s v="Dhanesh Mehta"/>
    <x v="1"/>
    <s v="ALC Alexander Dominique"/>
    <m/>
    <s v="alexander.dominique@here.com"/>
    <s v="Disagree"/>
    <m/>
    <m/>
    <m/>
    <m/>
    <n v="10"/>
    <x v="1"/>
  </r>
  <r>
    <s v="Localization"/>
    <s v="Dhanesh Mehta"/>
    <x v="2"/>
    <s v="Localization Girish Vengaserry"/>
    <m/>
    <s v="girish.vengaserry@here.com"/>
    <s v="Agree"/>
    <m/>
    <m/>
    <s v="Strongly Disagree"/>
    <s v="Neither Agree or Disagre"/>
    <n v="3"/>
    <x v="2"/>
  </r>
  <r>
    <s v="Localization"/>
    <s v="Dhanesh Mehta"/>
    <x v="3"/>
    <s v="Localization Ravindar Dayachand"/>
    <m/>
    <s v="ravindar.dayachand@here.com"/>
    <s v="Strongly Agree"/>
    <m/>
    <s v="Neither Agree or Disagre"/>
    <s v="Neither Agree or Disagre"/>
    <m/>
    <n v="4"/>
    <x v="0"/>
  </r>
  <r>
    <s v="ALC"/>
    <s v="Dhanesh Mehta"/>
    <x v="4"/>
    <s v="ALC Johan Beerens"/>
    <m/>
    <s v="johan.beerens@here.com"/>
    <s v="Neither Agree or Disagre"/>
    <m/>
    <m/>
    <s v="Disagree"/>
    <s v="Strongly Disagree"/>
    <n v="6"/>
    <x v="3"/>
  </r>
  <r>
    <s v="ALC"/>
    <s v="Dhanesh Mehta"/>
    <x v="5"/>
    <s v="ALC Nitin Kare"/>
    <m/>
    <s v="nitin.kare@here.com"/>
    <s v="Agree"/>
    <m/>
    <s v="Disagree"/>
    <m/>
    <m/>
    <n v="7"/>
    <x v="1"/>
  </r>
  <r>
    <s v="ALC"/>
    <s v="Dhanesh Mehta"/>
    <x v="6"/>
    <s v="ALC Nicholas Hatcher"/>
    <m/>
    <s v="nicholas.hatcher@here.com"/>
    <s v="Agree"/>
    <m/>
    <m/>
    <s v="Neither Agree or Disagre"/>
    <m/>
    <n v="7"/>
    <x v="3"/>
  </r>
  <r>
    <s v="ALC"/>
    <s v="Dhanesh Mehta"/>
    <x v="7"/>
    <s v="ALC Syed Fahim Akhtar"/>
    <m/>
    <s v="syed.akhtar@here.com"/>
    <m/>
    <s v="Neither Agree or Disagre"/>
    <s v="Disagree"/>
    <s v="Strongly Disagree"/>
    <s v="Disagree"/>
    <n v="7"/>
    <x v="4"/>
  </r>
  <r>
    <s v="ALC"/>
    <s v="Dhanesh Mehta"/>
    <x v="8"/>
    <s v="ALC Riya Matai"/>
    <m/>
    <s v="riya.matai@here.com"/>
    <s v="Strongly Agree"/>
    <m/>
    <s v="Neither Agree or Disagre"/>
    <m/>
    <m/>
    <n v="3"/>
    <x v="3"/>
  </r>
  <r>
    <s v="Here Lanes"/>
    <s v="Dhanesh Mehta"/>
    <x v="9"/>
    <s v="Here Lanes Devendra Samant"/>
    <m/>
    <s v="devendra.samant@here.com"/>
    <m/>
    <m/>
    <s v="Strongly Disagree"/>
    <m/>
    <m/>
    <n v="3"/>
    <x v="2"/>
  </r>
  <r>
    <s v="Localization &amp; HDLM Lanes"/>
    <s v="Dhanesh Mehta"/>
    <x v="10"/>
    <s v="Localization &amp; HDLM Lanes Matt Melvin"/>
    <m/>
    <s v="matt.melvin@here.com"/>
    <m/>
    <m/>
    <m/>
    <s v="Neither Agree or Disagre"/>
    <m/>
    <n v="4"/>
    <x v="2"/>
  </r>
  <r>
    <s v="HDLM Lanes"/>
    <s v="Dhanesh Mehta"/>
    <x v="11"/>
    <s v="HDLM Lanes Andrew Wilson"/>
    <m/>
    <s v="andrew.wilson@here.com"/>
    <m/>
    <m/>
    <s v="Disagree"/>
    <s v="Disagree"/>
    <s v="Strongly Disagree"/>
    <n v="3"/>
    <x v="3"/>
  </r>
  <r>
    <s v="ALC"/>
    <s v="Dhanesh Mehta"/>
    <x v="12"/>
    <s v="ALC Oliver Monson"/>
    <m/>
    <s v="oliver.monson@here.com"/>
    <m/>
    <m/>
    <m/>
    <m/>
    <m/>
    <n v="3"/>
    <x v="4"/>
  </r>
  <r>
    <s v="HDLM Lanes"/>
    <s v="Dhanesh Mehta"/>
    <x v="13"/>
    <s v="HDLM Lanes Justin Link"/>
    <m/>
    <s v="justin.link@here.com"/>
    <m/>
    <m/>
    <m/>
    <s v="Neither Agree or Disagre"/>
    <m/>
    <n v="5"/>
    <x v="1"/>
  </r>
  <r>
    <s v="HDLM Lanes"/>
    <s v="Dhanesh Mehta"/>
    <x v="14"/>
    <s v="HDLM Lanes Kristin Thompson"/>
    <m/>
    <s v="kristin.thompson@here.com"/>
    <m/>
    <m/>
    <s v="Strongly Disagree"/>
    <s v="Strongly Disagree"/>
    <m/>
    <m/>
    <x v="4"/>
  </r>
  <r>
    <s v="HDLM Lanes"/>
    <s v="Dhanesh Mehta"/>
    <x v="15"/>
    <s v="HDLM Lanes Michael Deuerling"/>
    <m/>
    <s v="michael.deuerling@here.com"/>
    <m/>
    <m/>
    <m/>
    <m/>
    <m/>
    <n v="4"/>
    <x v="3"/>
  </r>
  <r>
    <s v="HDLM Lanes"/>
    <s v="Dhanesh Mehta"/>
    <x v="16"/>
    <s v="HDLM Lanes Jeremy Young"/>
    <m/>
    <s v="jeremy.3.young@here.com"/>
    <s v="Neither Agree or Disagre"/>
    <m/>
    <s v="Disagree"/>
    <m/>
    <m/>
    <m/>
    <x v="4"/>
  </r>
  <r>
    <s v="Localization &amp; HDLM Lanes"/>
    <s v="Dhanesh Mehta"/>
    <x v="17"/>
    <s v="Localization &amp; HDLM Lanes Phillip Bernard"/>
    <m/>
    <s v="phillip.bernard@here.com"/>
    <m/>
    <m/>
    <m/>
    <s v="Strongly Disagree"/>
    <s v="Disagree"/>
    <n v="3"/>
    <x v="2"/>
  </r>
  <r>
    <s v="HDLM Lanes"/>
    <s v="Dhanesh Mehta"/>
    <x v="18"/>
    <s v="HDLM Lanes Olivier Ricordel"/>
    <m/>
    <s v="olivier.ricordel@here.com"/>
    <m/>
    <m/>
    <m/>
    <m/>
    <m/>
    <n v="6"/>
    <x v="0"/>
  </r>
  <r>
    <s v="HDLM Lanes"/>
    <s v="Dhanesh Mehta"/>
    <x v="19"/>
    <s v="HDLM Lanes Raymond O'Mara"/>
    <m/>
    <s v="raymond.omara@here.com"/>
    <m/>
    <m/>
    <m/>
    <m/>
    <m/>
    <m/>
    <x v="1"/>
  </r>
  <r>
    <s v="ALC"/>
    <s v="Dhanesh Mehta"/>
    <x v="20"/>
    <s v="ALC Sheila Nedelcu"/>
    <m/>
    <s v="sheila.nedelcu@here.com"/>
    <m/>
    <m/>
    <m/>
    <m/>
    <m/>
    <n v="6"/>
    <x v="4"/>
  </r>
  <r>
    <s v="Here Lanes"/>
    <s v="Dhanesh Mehta"/>
    <x v="21"/>
    <s v="Here Lanes Alind Chonkar"/>
    <m/>
    <s v="alind.chonkar@here.com"/>
    <m/>
    <m/>
    <m/>
    <s v="Disagree"/>
    <m/>
    <m/>
    <x v="1"/>
  </r>
  <r>
    <s v="ALC"/>
    <s v="Dhanesh Mehta"/>
    <x v="22"/>
    <s v="ALC Tony Rzany"/>
    <m/>
    <s v="tony.rzany@here.com"/>
    <s v="Neither Agree or Disagre"/>
    <m/>
    <s v="Strongly Disagree"/>
    <m/>
    <m/>
    <n v="2"/>
    <x v="2"/>
  </r>
  <r>
    <s v="Localization"/>
    <s v="Dhanesh Mehta"/>
    <x v="23"/>
    <s v="Localization William Marks"/>
    <m/>
    <s v="william.marks@here.com"/>
    <m/>
    <m/>
    <m/>
    <s v="Neither Agree or Disagre"/>
    <m/>
    <m/>
    <x v="3"/>
  </r>
  <r>
    <s v="Here Lanes"/>
    <s v="Dhanesh Mehta"/>
    <x v="24"/>
    <s v="Here Lanes Ben Woodley"/>
    <m/>
    <s v="ben.woodley@here.com"/>
    <m/>
    <m/>
    <m/>
    <m/>
    <m/>
    <m/>
    <x v="4"/>
  </r>
  <r>
    <s v="Here Lanes"/>
    <s v="Dhanesh Mehta"/>
    <x v="25"/>
    <s v="Here Lanes Andrea Gagliardi"/>
    <m/>
    <s v="andrea.gagliardi@here.com"/>
    <m/>
    <m/>
    <m/>
    <m/>
    <m/>
    <n v="3"/>
    <x v="2"/>
  </r>
  <r>
    <s v="Here Lanes"/>
    <s v="Dhanesh Mehta"/>
    <x v="26"/>
    <s v="Here Lanes Hussain Khan"/>
    <m/>
    <s v="hussain.khan@here.com"/>
    <m/>
    <m/>
    <s v="Disagree"/>
    <s v="Strongly Disagree"/>
    <m/>
    <m/>
    <x v="0"/>
  </r>
  <r>
    <s v="Here Lanes"/>
    <s v="Dhanesh Mehta"/>
    <x v="27"/>
    <s v="Here Lanes Sagar Zaveri"/>
    <m/>
    <s v="sagar.zaveri@here.com"/>
    <m/>
    <m/>
    <m/>
    <m/>
    <s v="Strongly Disagree"/>
    <n v="4"/>
    <x v="2"/>
  </r>
  <r>
    <s v="ALC"/>
    <s v="Dhanesh Mehta"/>
    <x v="28"/>
    <s v="ALC Eugene Feld"/>
    <m/>
    <s v="eugene.feld@here.com"/>
    <s v="Agree"/>
    <m/>
    <m/>
    <m/>
    <m/>
    <m/>
    <x v="0"/>
  </r>
  <r>
    <s v="HDLM Lanes"/>
    <s v="Dhanesh Mehta"/>
    <x v="29"/>
    <s v="HDLM Lanes Sneha Chaphalkar"/>
    <m/>
    <s v="sneha.chaphalkar@here.com"/>
    <m/>
    <s v="Strongly Agree"/>
    <m/>
    <s v="Neither Agree or Disagre"/>
    <m/>
    <n v="4"/>
    <x v="3"/>
  </r>
  <r>
    <s v="HDLM Lanes"/>
    <s v="Dhanesh Mehta"/>
    <x v="30"/>
    <s v="HDLM Lanes Michael Weiland"/>
    <m/>
    <s v="michael.weiland@here.com"/>
    <m/>
    <m/>
    <m/>
    <m/>
    <m/>
    <m/>
    <x v="4"/>
  </r>
  <r>
    <s v="Here Lanes"/>
    <s v="Dhanesh Mehta"/>
    <x v="31"/>
    <s v="Here Lanes Sjon Kuijpers"/>
    <m/>
    <s v="sjon.kuijpers@here.com"/>
    <m/>
    <m/>
    <m/>
    <s v="Strongly Disagree"/>
    <s v="Strongly Disagree"/>
    <m/>
    <x v="1"/>
  </r>
  <r>
    <s v="ALC"/>
    <s v="Dhanesh Mehta"/>
    <x v="32"/>
    <s v="ALC Rainu Pierce"/>
    <m/>
    <s v="rainu.pierce@here.com"/>
    <m/>
    <m/>
    <m/>
    <m/>
    <m/>
    <m/>
    <x v="0"/>
  </r>
  <r>
    <s v="Here Lanes"/>
    <s v="Dhanesh Mehta"/>
    <x v="33"/>
    <s v="Here Lanes Susan Petr"/>
    <m/>
    <s v="susan.petr@here.com"/>
    <m/>
    <m/>
    <m/>
    <m/>
    <m/>
    <m/>
    <x v="1"/>
  </r>
  <r>
    <s v="Here Lanes"/>
    <s v="Dhanesh Mehta"/>
    <x v="34"/>
    <s v="Here Lanes Nancy Womack"/>
    <m/>
    <s v="nancy.womack@here.com"/>
    <s v="Neither Agree or Disagre"/>
    <m/>
    <s v="Disagree"/>
    <m/>
    <m/>
    <m/>
    <x v="2"/>
  </r>
  <r>
    <s v="Here Lanes"/>
    <s v="Dhanesh Mehta"/>
    <x v="35"/>
    <s v="Here Lanes Andrey Ulianov"/>
    <m/>
    <s v="andrey.ulianov@here.com"/>
    <m/>
    <s v="Agree"/>
    <m/>
    <m/>
    <m/>
    <m/>
    <x v="1"/>
  </r>
  <r>
    <s v="Here Lanes"/>
    <s v="Dhanesh Mehta"/>
    <x v="36"/>
    <s v="Here Lanes Ashutosh Gawade"/>
    <m/>
    <s v="ashutosh.gawade@here.com"/>
    <m/>
    <m/>
    <m/>
    <s v="Disagree"/>
    <m/>
    <m/>
    <x v="4"/>
  </r>
  <r>
    <s v="Localization"/>
    <s v="Dhanesh Mehta"/>
    <x v="37"/>
    <s v="Localization Guy Romano"/>
    <m/>
    <s v="guy.romano@here.com"/>
    <m/>
    <m/>
    <m/>
    <m/>
    <m/>
    <n v="3"/>
    <x v="2"/>
  </r>
  <r>
    <s v="MFA"/>
    <s v="Dhanesh Mehta"/>
    <x v="38"/>
    <s v="MFA Uyen Nguyen"/>
    <m/>
    <s v="uyen.nguyen@here.com"/>
    <m/>
    <m/>
    <m/>
    <m/>
    <s v="Disagree"/>
    <m/>
    <x v="0"/>
  </r>
  <r>
    <s v="ALC"/>
    <s v="Dhanesh Mehta"/>
    <x v="39"/>
    <s v="ALC Vikas Wadhwa"/>
    <m/>
    <s v="vikas.wadhwa@here.com"/>
    <m/>
    <m/>
    <m/>
    <s v="Strongly Disagree"/>
    <m/>
    <m/>
    <x v="4"/>
  </r>
  <r>
    <s v="ALC"/>
    <s v="Dhanesh Mehta"/>
    <x v="40"/>
    <s v="ALC Nisha Sharma"/>
    <m/>
    <s v="nisha.sharma@here.com"/>
    <m/>
    <m/>
    <s v="Strongly Disagree"/>
    <m/>
    <s v="Disagree"/>
    <m/>
    <x v="2"/>
  </r>
  <r>
    <s v="HDLM Lanes"/>
    <s v="Dhanesh Mehta"/>
    <x v="41"/>
    <s v="HDLM Lanes James Panek"/>
    <m/>
    <s v="james.panek@here.com"/>
    <m/>
    <m/>
    <m/>
    <m/>
    <m/>
    <m/>
    <x v="1"/>
  </r>
  <r>
    <s v="HDLM Lanes"/>
    <s v="Dhanesh Mehta"/>
    <x v="42"/>
    <s v="HDLM Lanes Krzysztof Makiel"/>
    <m/>
    <s v="krzysztof.makiel@here.com"/>
    <m/>
    <m/>
    <m/>
    <m/>
    <m/>
    <m/>
    <x v="3"/>
  </r>
  <r>
    <s v="HDLM Lanes"/>
    <s v="Dhanesh Mehta"/>
    <x v="43"/>
    <s v="HDLM Lanes Juilo Arrioja"/>
    <m/>
    <s v="juilo.arrioja@here.com"/>
    <m/>
    <m/>
    <m/>
    <m/>
    <m/>
    <n v="10"/>
    <x v="4"/>
  </r>
  <r>
    <s v="ALC"/>
    <s v="Dhanesh Mehta"/>
    <x v="44"/>
    <s v="ALC Don Peterson"/>
    <m/>
    <s v="don.peterson@here.com"/>
    <m/>
    <s v="Neither Agree or Disagre"/>
    <m/>
    <s v="Strongly Disagree"/>
    <s v="Strongly Disagree"/>
    <m/>
    <x v="2"/>
  </r>
  <r>
    <s v="ALC"/>
    <s v="Dhanesh Mehta"/>
    <x v="45"/>
    <s v="ALC Anuradha Shenoy"/>
    <m/>
    <s v="anuradha.shenoy@here.com"/>
    <m/>
    <m/>
    <m/>
    <m/>
    <m/>
    <n v="5"/>
    <x v="1"/>
  </r>
  <r>
    <s v="HDLM Lanes"/>
    <s v="Dhanesh Mehta"/>
    <x v="46"/>
    <s v="HDLM Lanes Max Berggren"/>
    <m/>
    <s v="max.berggren@here.com"/>
    <m/>
    <s v="Strongly Disagree"/>
    <m/>
    <m/>
    <m/>
    <m/>
    <x v="4"/>
  </r>
  <r>
    <s v="ALC"/>
    <s v="Dhanesh Mehta"/>
    <x v="47"/>
    <s v="ALC Nisha Saini"/>
    <m/>
    <s v="nisha.saini@here.com"/>
    <m/>
    <m/>
    <m/>
    <m/>
    <m/>
    <m/>
    <x v="3"/>
  </r>
  <r>
    <s v="MFA"/>
    <s v="Sujit Patil"/>
    <x v="48"/>
    <s v="MFA Adhithya Rajan"/>
    <m/>
    <s v="adhithya.rajan@here.com"/>
    <m/>
    <m/>
    <m/>
    <m/>
    <s v="Strongly Disagree"/>
    <m/>
    <x v="0"/>
  </r>
  <r>
    <s v="MFA"/>
    <s v="Sujit Patil"/>
    <x v="49"/>
    <s v="MFA Katherine Aanensen"/>
    <m/>
    <s v="katherine.aanensen@here.com"/>
    <s v="Neither Agree or Disagre"/>
    <m/>
    <m/>
    <m/>
    <m/>
    <m/>
    <x v="0"/>
  </r>
  <r>
    <s v="MFA"/>
    <s v="Sujit Patil"/>
    <x v="50"/>
    <s v="MFA Brandon Ludwig"/>
    <m/>
    <s v="brandon.ludwig@here.com"/>
    <s v="Strongly Disagree"/>
    <s v="Disagree"/>
    <s v="Disagree"/>
    <s v="Disagree"/>
    <s v="Disagree"/>
    <n v="8"/>
    <x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x v="0"/>
  </r>
  <r>
    <x v="1"/>
    <x v="1"/>
  </r>
  <r>
    <x v="2"/>
    <x v="2"/>
  </r>
  <r>
    <x v="3"/>
    <x v="3"/>
  </r>
  <r>
    <x v="4"/>
    <x v="4"/>
  </r>
  <r>
    <x v="5"/>
    <x v="2"/>
  </r>
  <r>
    <x v="6"/>
    <x v="1"/>
  </r>
  <r>
    <x v="7"/>
    <x v="1"/>
  </r>
  <r>
    <x v="8"/>
    <x v="0"/>
  </r>
  <r>
    <x v="9"/>
    <x v="1"/>
  </r>
  <r>
    <x v="10"/>
    <x v="4"/>
  </r>
  <r>
    <x v="11"/>
    <x v="2"/>
  </r>
  <r>
    <x v="12"/>
    <x v="0"/>
  </r>
  <r>
    <x v="13"/>
    <x v="2"/>
  </r>
  <r>
    <x v="14"/>
    <x v="1"/>
  </r>
  <r>
    <x v="15"/>
    <x v="3"/>
  </r>
  <r>
    <x v="16"/>
    <x v="2"/>
  </r>
  <r>
    <x v="17"/>
    <x v="1"/>
  </r>
  <r>
    <x v="18"/>
    <x v="3"/>
  </r>
  <r>
    <x v="19"/>
    <x v="4"/>
  </r>
  <r>
    <x v="20"/>
    <x v="0"/>
  </r>
  <r>
    <x v="21"/>
    <x v="4"/>
  </r>
  <r>
    <x v="22"/>
    <x v="2"/>
  </r>
  <r>
    <x v="23"/>
    <x v="3"/>
  </r>
  <r>
    <x v="24"/>
    <x v="1"/>
  </r>
  <r>
    <x v="25"/>
    <x v="4"/>
  </r>
  <r>
    <x v="26"/>
    <x v="1"/>
  </r>
  <r>
    <x v="27"/>
    <x v="3"/>
  </r>
  <r>
    <x v="28"/>
    <x v="2"/>
  </r>
  <r>
    <x v="29"/>
    <x v="4"/>
  </r>
  <r>
    <x v="30"/>
    <x v="4"/>
  </r>
  <r>
    <x v="31"/>
    <x v="0"/>
  </r>
  <r>
    <x v="32"/>
    <x v="3"/>
  </r>
  <r>
    <x v="33"/>
    <x v="2"/>
  </r>
  <r>
    <x v="34"/>
    <x v="1"/>
  </r>
  <r>
    <x v="35"/>
    <x v="4"/>
  </r>
  <r>
    <x v="36"/>
    <x v="3"/>
  </r>
  <r>
    <x v="37"/>
    <x v="4"/>
  </r>
  <r>
    <x v="38"/>
    <x v="0"/>
  </r>
  <r>
    <x v="39"/>
    <x v="2"/>
  </r>
  <r>
    <x v="40"/>
    <x v="4"/>
  </r>
  <r>
    <x v="41"/>
    <x v="1"/>
  </r>
  <r>
    <x v="42"/>
    <x v="4"/>
  </r>
  <r>
    <x v="43"/>
    <x v="2"/>
  </r>
  <r>
    <x v="44"/>
    <x v="3"/>
  </r>
  <r>
    <x v="45"/>
    <x v="0"/>
  </r>
  <r>
    <x v="46"/>
    <x v="1"/>
  </r>
  <r>
    <x v="47"/>
    <x v="2"/>
  </r>
  <r>
    <x v="48"/>
    <x v="0"/>
  </r>
  <r>
    <x v="49"/>
    <x v="3"/>
  </r>
  <r>
    <x v="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9DE0B4-FEA5-41D8-B236-22F2292AF22F}" name="PivotTable13"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B18" firstHeaderRow="1" firstDataRow="1" firstDataCol="1"/>
  <pivotFields count="2">
    <pivotField axis="axisRow" showAll="0">
      <items count="52">
        <item x="48"/>
        <item x="1"/>
        <item x="21"/>
        <item x="25"/>
        <item x="11"/>
        <item x="35"/>
        <item x="45"/>
        <item x="36"/>
        <item x="24"/>
        <item x="50"/>
        <item x="9"/>
        <item x="44"/>
        <item x="28"/>
        <item x="2"/>
        <item x="37"/>
        <item x="26"/>
        <item x="41"/>
        <item x="16"/>
        <item x="4"/>
        <item x="43"/>
        <item x="13"/>
        <item x="49"/>
        <item x="14"/>
        <item x="42"/>
        <item x="10"/>
        <item x="46"/>
        <item x="15"/>
        <item x="0"/>
        <item x="30"/>
        <item x="34"/>
        <item x="6"/>
        <item x="47"/>
        <item x="40"/>
        <item x="5"/>
        <item x="12"/>
        <item x="18"/>
        <item x="17"/>
        <item x="32"/>
        <item x="3"/>
        <item x="19"/>
        <item x="8"/>
        <item x="27"/>
        <item x="20"/>
        <item x="31"/>
        <item x="29"/>
        <item x="33"/>
        <item x="7"/>
        <item x="22"/>
        <item x="38"/>
        <item x="39"/>
        <item x="23"/>
        <item t="default"/>
      </items>
    </pivotField>
    <pivotField dataField="1" showAll="0">
      <items count="7">
        <item h="1" x="0"/>
        <item h="1" x="2"/>
        <item h="1" x="1"/>
        <item h="1" x="5"/>
        <item h="1" x="3"/>
        <item x="4"/>
        <item t="default"/>
      </items>
    </pivotField>
  </pivotFields>
  <rowFields count="1">
    <field x="0"/>
  </rowFields>
  <rowItems count="15">
    <i>
      <x v="2"/>
    </i>
    <i>
      <x v="4"/>
    </i>
    <i>
      <x v="7"/>
    </i>
    <i>
      <x v="9"/>
    </i>
    <i>
      <x v="11"/>
    </i>
    <i>
      <x v="13"/>
    </i>
    <i>
      <x v="15"/>
    </i>
    <i>
      <x v="18"/>
    </i>
    <i>
      <x v="22"/>
    </i>
    <i>
      <x v="27"/>
    </i>
    <i>
      <x v="36"/>
    </i>
    <i>
      <x v="43"/>
    </i>
    <i>
      <x v="46"/>
    </i>
    <i>
      <x v="49"/>
    </i>
    <i t="grand">
      <x/>
    </i>
  </rowItems>
  <colItems count="1">
    <i/>
  </colItems>
  <dataFields count="1">
    <dataField name="Count of Strongly Disagree/Disagree" fld="1" subtotal="count" baseField="0" baseItem="0"/>
  </dataFields>
  <chartFormats count="52">
    <chartFormat chart="6" format="53" series="1">
      <pivotArea type="data" outline="0" fieldPosition="0">
        <references count="1">
          <reference field="4294967294" count="1" selected="0">
            <x v="0"/>
          </reference>
        </references>
      </pivotArea>
    </chartFormat>
    <chartFormat chart="6" format="54">
      <pivotArea type="data" outline="0" fieldPosition="0">
        <references count="2">
          <reference field="4294967294" count="1" selected="0">
            <x v="0"/>
          </reference>
          <reference field="0" count="1" selected="0">
            <x v="0"/>
          </reference>
        </references>
      </pivotArea>
    </chartFormat>
    <chartFormat chart="6" format="55">
      <pivotArea type="data" outline="0" fieldPosition="0">
        <references count="2">
          <reference field="4294967294" count="1" selected="0">
            <x v="0"/>
          </reference>
          <reference field="0" count="1" selected="0">
            <x v="1"/>
          </reference>
        </references>
      </pivotArea>
    </chartFormat>
    <chartFormat chart="6" format="56">
      <pivotArea type="data" outline="0" fieldPosition="0">
        <references count="2">
          <reference field="4294967294" count="1" selected="0">
            <x v="0"/>
          </reference>
          <reference field="0" count="1" selected="0">
            <x v="2"/>
          </reference>
        </references>
      </pivotArea>
    </chartFormat>
    <chartFormat chart="6" format="57">
      <pivotArea type="data" outline="0" fieldPosition="0">
        <references count="2">
          <reference field="4294967294" count="1" selected="0">
            <x v="0"/>
          </reference>
          <reference field="0" count="1" selected="0">
            <x v="3"/>
          </reference>
        </references>
      </pivotArea>
    </chartFormat>
    <chartFormat chart="6" format="58">
      <pivotArea type="data" outline="0" fieldPosition="0">
        <references count="2">
          <reference field="4294967294" count="1" selected="0">
            <x v="0"/>
          </reference>
          <reference field="0" count="1" selected="0">
            <x v="4"/>
          </reference>
        </references>
      </pivotArea>
    </chartFormat>
    <chartFormat chart="6" format="59">
      <pivotArea type="data" outline="0" fieldPosition="0">
        <references count="2">
          <reference field="4294967294" count="1" selected="0">
            <x v="0"/>
          </reference>
          <reference field="0" count="1" selected="0">
            <x v="5"/>
          </reference>
        </references>
      </pivotArea>
    </chartFormat>
    <chartFormat chart="6" format="60">
      <pivotArea type="data" outline="0" fieldPosition="0">
        <references count="2">
          <reference field="4294967294" count="1" selected="0">
            <x v="0"/>
          </reference>
          <reference field="0" count="1" selected="0">
            <x v="6"/>
          </reference>
        </references>
      </pivotArea>
    </chartFormat>
    <chartFormat chart="6" format="61">
      <pivotArea type="data" outline="0" fieldPosition="0">
        <references count="2">
          <reference field="4294967294" count="1" selected="0">
            <x v="0"/>
          </reference>
          <reference field="0" count="1" selected="0">
            <x v="7"/>
          </reference>
        </references>
      </pivotArea>
    </chartFormat>
    <chartFormat chart="6" format="62">
      <pivotArea type="data" outline="0" fieldPosition="0">
        <references count="2">
          <reference field="4294967294" count="1" selected="0">
            <x v="0"/>
          </reference>
          <reference field="0" count="1" selected="0">
            <x v="8"/>
          </reference>
        </references>
      </pivotArea>
    </chartFormat>
    <chartFormat chart="6" format="63">
      <pivotArea type="data" outline="0" fieldPosition="0">
        <references count="2">
          <reference field="4294967294" count="1" selected="0">
            <x v="0"/>
          </reference>
          <reference field="0" count="1" selected="0">
            <x v="9"/>
          </reference>
        </references>
      </pivotArea>
    </chartFormat>
    <chartFormat chart="6" format="64">
      <pivotArea type="data" outline="0" fieldPosition="0">
        <references count="2">
          <reference field="4294967294" count="1" selected="0">
            <x v="0"/>
          </reference>
          <reference field="0" count="1" selected="0">
            <x v="10"/>
          </reference>
        </references>
      </pivotArea>
    </chartFormat>
    <chartFormat chart="6" format="65">
      <pivotArea type="data" outline="0" fieldPosition="0">
        <references count="2">
          <reference field="4294967294" count="1" selected="0">
            <x v="0"/>
          </reference>
          <reference field="0" count="1" selected="0">
            <x v="11"/>
          </reference>
        </references>
      </pivotArea>
    </chartFormat>
    <chartFormat chart="6" format="66">
      <pivotArea type="data" outline="0" fieldPosition="0">
        <references count="2">
          <reference field="4294967294" count="1" selected="0">
            <x v="0"/>
          </reference>
          <reference field="0" count="1" selected="0">
            <x v="12"/>
          </reference>
        </references>
      </pivotArea>
    </chartFormat>
    <chartFormat chart="6" format="67">
      <pivotArea type="data" outline="0" fieldPosition="0">
        <references count="2">
          <reference field="4294967294" count="1" selected="0">
            <x v="0"/>
          </reference>
          <reference field="0" count="1" selected="0">
            <x v="13"/>
          </reference>
        </references>
      </pivotArea>
    </chartFormat>
    <chartFormat chart="6" format="68">
      <pivotArea type="data" outline="0" fieldPosition="0">
        <references count="2">
          <reference field="4294967294" count="1" selected="0">
            <x v="0"/>
          </reference>
          <reference field="0" count="1" selected="0">
            <x v="14"/>
          </reference>
        </references>
      </pivotArea>
    </chartFormat>
    <chartFormat chart="6" format="69">
      <pivotArea type="data" outline="0" fieldPosition="0">
        <references count="2">
          <reference field="4294967294" count="1" selected="0">
            <x v="0"/>
          </reference>
          <reference field="0" count="1" selected="0">
            <x v="15"/>
          </reference>
        </references>
      </pivotArea>
    </chartFormat>
    <chartFormat chart="6" format="70">
      <pivotArea type="data" outline="0" fieldPosition="0">
        <references count="2">
          <reference field="4294967294" count="1" selected="0">
            <x v="0"/>
          </reference>
          <reference field="0" count="1" selected="0">
            <x v="16"/>
          </reference>
        </references>
      </pivotArea>
    </chartFormat>
    <chartFormat chart="6" format="71">
      <pivotArea type="data" outline="0" fieldPosition="0">
        <references count="2">
          <reference field="4294967294" count="1" selected="0">
            <x v="0"/>
          </reference>
          <reference field="0" count="1" selected="0">
            <x v="17"/>
          </reference>
        </references>
      </pivotArea>
    </chartFormat>
    <chartFormat chart="6" format="72">
      <pivotArea type="data" outline="0" fieldPosition="0">
        <references count="2">
          <reference field="4294967294" count="1" selected="0">
            <x v="0"/>
          </reference>
          <reference field="0" count="1" selected="0">
            <x v="18"/>
          </reference>
        </references>
      </pivotArea>
    </chartFormat>
    <chartFormat chart="6" format="73">
      <pivotArea type="data" outline="0" fieldPosition="0">
        <references count="2">
          <reference field="4294967294" count="1" selected="0">
            <x v="0"/>
          </reference>
          <reference field="0" count="1" selected="0">
            <x v="19"/>
          </reference>
        </references>
      </pivotArea>
    </chartFormat>
    <chartFormat chart="6" format="74">
      <pivotArea type="data" outline="0" fieldPosition="0">
        <references count="2">
          <reference field="4294967294" count="1" selected="0">
            <x v="0"/>
          </reference>
          <reference field="0" count="1" selected="0">
            <x v="20"/>
          </reference>
        </references>
      </pivotArea>
    </chartFormat>
    <chartFormat chart="6" format="75">
      <pivotArea type="data" outline="0" fieldPosition="0">
        <references count="2">
          <reference field="4294967294" count="1" selected="0">
            <x v="0"/>
          </reference>
          <reference field="0" count="1" selected="0">
            <x v="21"/>
          </reference>
        </references>
      </pivotArea>
    </chartFormat>
    <chartFormat chart="6" format="76">
      <pivotArea type="data" outline="0" fieldPosition="0">
        <references count="2">
          <reference field="4294967294" count="1" selected="0">
            <x v="0"/>
          </reference>
          <reference field="0" count="1" selected="0">
            <x v="22"/>
          </reference>
        </references>
      </pivotArea>
    </chartFormat>
    <chartFormat chart="6" format="77">
      <pivotArea type="data" outline="0" fieldPosition="0">
        <references count="2">
          <reference field="4294967294" count="1" selected="0">
            <x v="0"/>
          </reference>
          <reference field="0" count="1" selected="0">
            <x v="23"/>
          </reference>
        </references>
      </pivotArea>
    </chartFormat>
    <chartFormat chart="6" format="78">
      <pivotArea type="data" outline="0" fieldPosition="0">
        <references count="2">
          <reference field="4294967294" count="1" selected="0">
            <x v="0"/>
          </reference>
          <reference field="0" count="1" selected="0">
            <x v="24"/>
          </reference>
        </references>
      </pivotArea>
    </chartFormat>
    <chartFormat chart="6" format="79">
      <pivotArea type="data" outline="0" fieldPosition="0">
        <references count="2">
          <reference field="4294967294" count="1" selected="0">
            <x v="0"/>
          </reference>
          <reference field="0" count="1" selected="0">
            <x v="25"/>
          </reference>
        </references>
      </pivotArea>
    </chartFormat>
    <chartFormat chart="6" format="80">
      <pivotArea type="data" outline="0" fieldPosition="0">
        <references count="2">
          <reference field="4294967294" count="1" selected="0">
            <x v="0"/>
          </reference>
          <reference field="0" count="1" selected="0">
            <x v="26"/>
          </reference>
        </references>
      </pivotArea>
    </chartFormat>
    <chartFormat chart="6" format="81">
      <pivotArea type="data" outline="0" fieldPosition="0">
        <references count="2">
          <reference field="4294967294" count="1" selected="0">
            <x v="0"/>
          </reference>
          <reference field="0" count="1" selected="0">
            <x v="27"/>
          </reference>
        </references>
      </pivotArea>
    </chartFormat>
    <chartFormat chart="6" format="82">
      <pivotArea type="data" outline="0" fieldPosition="0">
        <references count="2">
          <reference field="4294967294" count="1" selected="0">
            <x v="0"/>
          </reference>
          <reference field="0" count="1" selected="0">
            <x v="28"/>
          </reference>
        </references>
      </pivotArea>
    </chartFormat>
    <chartFormat chart="6" format="83">
      <pivotArea type="data" outline="0" fieldPosition="0">
        <references count="2">
          <reference field="4294967294" count="1" selected="0">
            <x v="0"/>
          </reference>
          <reference field="0" count="1" selected="0">
            <x v="29"/>
          </reference>
        </references>
      </pivotArea>
    </chartFormat>
    <chartFormat chart="6" format="84">
      <pivotArea type="data" outline="0" fieldPosition="0">
        <references count="2">
          <reference field="4294967294" count="1" selected="0">
            <x v="0"/>
          </reference>
          <reference field="0" count="1" selected="0">
            <x v="30"/>
          </reference>
        </references>
      </pivotArea>
    </chartFormat>
    <chartFormat chart="6" format="85">
      <pivotArea type="data" outline="0" fieldPosition="0">
        <references count="2">
          <reference field="4294967294" count="1" selected="0">
            <x v="0"/>
          </reference>
          <reference field="0" count="1" selected="0">
            <x v="31"/>
          </reference>
        </references>
      </pivotArea>
    </chartFormat>
    <chartFormat chart="6" format="86">
      <pivotArea type="data" outline="0" fieldPosition="0">
        <references count="2">
          <reference field="4294967294" count="1" selected="0">
            <x v="0"/>
          </reference>
          <reference field="0" count="1" selected="0">
            <x v="32"/>
          </reference>
        </references>
      </pivotArea>
    </chartFormat>
    <chartFormat chart="6" format="87">
      <pivotArea type="data" outline="0" fieldPosition="0">
        <references count="2">
          <reference field="4294967294" count="1" selected="0">
            <x v="0"/>
          </reference>
          <reference field="0" count="1" selected="0">
            <x v="33"/>
          </reference>
        </references>
      </pivotArea>
    </chartFormat>
    <chartFormat chart="6" format="88">
      <pivotArea type="data" outline="0" fieldPosition="0">
        <references count="2">
          <reference field="4294967294" count="1" selected="0">
            <x v="0"/>
          </reference>
          <reference field="0" count="1" selected="0">
            <x v="34"/>
          </reference>
        </references>
      </pivotArea>
    </chartFormat>
    <chartFormat chart="6" format="89">
      <pivotArea type="data" outline="0" fieldPosition="0">
        <references count="2">
          <reference field="4294967294" count="1" selected="0">
            <x v="0"/>
          </reference>
          <reference field="0" count="1" selected="0">
            <x v="35"/>
          </reference>
        </references>
      </pivotArea>
    </chartFormat>
    <chartFormat chart="6" format="90">
      <pivotArea type="data" outline="0" fieldPosition="0">
        <references count="2">
          <reference field="4294967294" count="1" selected="0">
            <x v="0"/>
          </reference>
          <reference field="0" count="1" selected="0">
            <x v="36"/>
          </reference>
        </references>
      </pivotArea>
    </chartFormat>
    <chartFormat chart="6" format="91">
      <pivotArea type="data" outline="0" fieldPosition="0">
        <references count="2">
          <reference field="4294967294" count="1" selected="0">
            <x v="0"/>
          </reference>
          <reference field="0" count="1" selected="0">
            <x v="37"/>
          </reference>
        </references>
      </pivotArea>
    </chartFormat>
    <chartFormat chart="6" format="92">
      <pivotArea type="data" outline="0" fieldPosition="0">
        <references count="2">
          <reference field="4294967294" count="1" selected="0">
            <x v="0"/>
          </reference>
          <reference field="0" count="1" selected="0">
            <x v="38"/>
          </reference>
        </references>
      </pivotArea>
    </chartFormat>
    <chartFormat chart="6" format="93">
      <pivotArea type="data" outline="0" fieldPosition="0">
        <references count="2">
          <reference field="4294967294" count="1" selected="0">
            <x v="0"/>
          </reference>
          <reference field="0" count="1" selected="0">
            <x v="39"/>
          </reference>
        </references>
      </pivotArea>
    </chartFormat>
    <chartFormat chart="6" format="94">
      <pivotArea type="data" outline="0" fieldPosition="0">
        <references count="2">
          <reference field="4294967294" count="1" selected="0">
            <x v="0"/>
          </reference>
          <reference field="0" count="1" selected="0">
            <x v="40"/>
          </reference>
        </references>
      </pivotArea>
    </chartFormat>
    <chartFormat chart="6" format="95">
      <pivotArea type="data" outline="0" fieldPosition="0">
        <references count="2">
          <reference field="4294967294" count="1" selected="0">
            <x v="0"/>
          </reference>
          <reference field="0" count="1" selected="0">
            <x v="41"/>
          </reference>
        </references>
      </pivotArea>
    </chartFormat>
    <chartFormat chart="6" format="96">
      <pivotArea type="data" outline="0" fieldPosition="0">
        <references count="2">
          <reference field="4294967294" count="1" selected="0">
            <x v="0"/>
          </reference>
          <reference field="0" count="1" selected="0">
            <x v="42"/>
          </reference>
        </references>
      </pivotArea>
    </chartFormat>
    <chartFormat chart="6" format="97">
      <pivotArea type="data" outline="0" fieldPosition="0">
        <references count="2">
          <reference field="4294967294" count="1" selected="0">
            <x v="0"/>
          </reference>
          <reference field="0" count="1" selected="0">
            <x v="43"/>
          </reference>
        </references>
      </pivotArea>
    </chartFormat>
    <chartFormat chart="6" format="98">
      <pivotArea type="data" outline="0" fieldPosition="0">
        <references count="2">
          <reference field="4294967294" count="1" selected="0">
            <x v="0"/>
          </reference>
          <reference field="0" count="1" selected="0">
            <x v="44"/>
          </reference>
        </references>
      </pivotArea>
    </chartFormat>
    <chartFormat chart="6" format="99">
      <pivotArea type="data" outline="0" fieldPosition="0">
        <references count="2">
          <reference field="4294967294" count="1" selected="0">
            <x v="0"/>
          </reference>
          <reference field="0" count="1" selected="0">
            <x v="45"/>
          </reference>
        </references>
      </pivotArea>
    </chartFormat>
    <chartFormat chart="6" format="100">
      <pivotArea type="data" outline="0" fieldPosition="0">
        <references count="2">
          <reference field="4294967294" count="1" selected="0">
            <x v="0"/>
          </reference>
          <reference field="0" count="1" selected="0">
            <x v="46"/>
          </reference>
        </references>
      </pivotArea>
    </chartFormat>
    <chartFormat chart="6" format="101">
      <pivotArea type="data" outline="0" fieldPosition="0">
        <references count="2">
          <reference field="4294967294" count="1" selected="0">
            <x v="0"/>
          </reference>
          <reference field="0" count="1" selected="0">
            <x v="47"/>
          </reference>
        </references>
      </pivotArea>
    </chartFormat>
    <chartFormat chart="6" format="102">
      <pivotArea type="data" outline="0" fieldPosition="0">
        <references count="2">
          <reference field="4294967294" count="1" selected="0">
            <x v="0"/>
          </reference>
          <reference field="0" count="1" selected="0">
            <x v="48"/>
          </reference>
        </references>
      </pivotArea>
    </chartFormat>
    <chartFormat chart="6" format="103">
      <pivotArea type="data" outline="0" fieldPosition="0">
        <references count="2">
          <reference field="4294967294" count="1" selected="0">
            <x v="0"/>
          </reference>
          <reference field="0" count="1" selected="0">
            <x v="49"/>
          </reference>
        </references>
      </pivotArea>
    </chartFormat>
    <chartFormat chart="6" format="104">
      <pivotArea type="data" outline="0" fieldPosition="0">
        <references count="2">
          <reference field="4294967294" count="1" selected="0">
            <x v="0"/>
          </reference>
          <reference field="0" count="1" selected="0">
            <x v="5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CE3A6C-D91A-48E6-8789-FE4639F9B506}" name="PivotTable2"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F9" firstHeaderRow="0" firstDataRow="1" firstDataCol="1"/>
  <pivotFields count="6">
    <pivotField axis="axisRow" showAll="0">
      <items count="7">
        <item x="1"/>
        <item x="3"/>
        <item m="1" x="5"/>
        <item x="0"/>
        <item x="4"/>
        <item x="2"/>
        <item t="default"/>
      </items>
    </pivotField>
    <pivotField dataField="1" showAll="0"/>
    <pivotField dataField="1" showAll="0"/>
    <pivotField dataField="1" showAll="0"/>
    <pivotField dataField="1" showAll="0"/>
    <pivotField dataField="1" showAll="0"/>
  </pivotFields>
  <rowFields count="1">
    <field x="0"/>
  </rowFields>
  <rowItems count="6">
    <i>
      <x/>
    </i>
    <i>
      <x v="1"/>
    </i>
    <i>
      <x v="3"/>
    </i>
    <i>
      <x v="4"/>
    </i>
    <i>
      <x v="5"/>
    </i>
    <i t="grand">
      <x/>
    </i>
  </rowItems>
  <colFields count="1">
    <field x="-2"/>
  </colFields>
  <colItems count="5">
    <i>
      <x/>
    </i>
    <i i="1">
      <x v="1"/>
    </i>
    <i i="2">
      <x v="2"/>
    </i>
    <i i="3">
      <x v="3"/>
    </i>
    <i i="4">
      <x v="4"/>
    </i>
  </colItems>
  <dataFields count="5">
    <dataField name=" High Quality Products" fld="1" baseField="0" baseItem="0"/>
    <dataField name=" Proactive in highlighting issues/risks" fld="3" baseField="0" baseItem="0"/>
    <dataField name="Sharing project Status Update" fld="4" baseField="0" baseItem="0"/>
    <dataField name=" On-time delivery" fld="5" baseField="0" baseItem="0"/>
    <dataField name=" Agil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17932A-846E-4C9C-8920-157D4080AD4D}" name="PivotTable5"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I7:M8" firstHeaderRow="0" firstDataRow="1" firstDataCol="0" rowPageCount="1" colPageCount="1"/>
  <pivotFields count="6">
    <pivotField axis="axisPage" multipleItemSelectionAllowed="1" showAll="0">
      <items count="52">
        <item x="1"/>
        <item h="1" x="45"/>
        <item h="1" x="44"/>
        <item h="1" x="28"/>
        <item h="1" x="4"/>
        <item h="1" x="0"/>
        <item h="1" x="6"/>
        <item h="1" x="47"/>
        <item h="1" x="40"/>
        <item h="1" x="5"/>
        <item h="1" x="12"/>
        <item h="1" x="32"/>
        <item h="1" x="8"/>
        <item h="1" x="20"/>
        <item h="1" x="7"/>
        <item h="1" x="22"/>
        <item h="1" x="39"/>
        <item h="1" x="11"/>
        <item h="1" x="41"/>
        <item h="1" x="16"/>
        <item h="1" x="43"/>
        <item h="1" x="13"/>
        <item h="1" x="14"/>
        <item h="1" x="42"/>
        <item h="1" x="46"/>
        <item h="1" x="15"/>
        <item h="1" x="30"/>
        <item h="1" x="18"/>
        <item h="1" x="19"/>
        <item h="1" x="29"/>
        <item h="1" x="21"/>
        <item h="1" x="25"/>
        <item h="1" x="35"/>
        <item h="1" x="36"/>
        <item h="1" x="24"/>
        <item h="1" x="9"/>
        <item h="1" x="26"/>
        <item h="1" x="34"/>
        <item h="1" x="27"/>
        <item h="1" x="31"/>
        <item h="1" x="33"/>
        <item h="1" x="10"/>
        <item h="1" x="17"/>
        <item h="1" x="2"/>
        <item h="1" x="37"/>
        <item h="1" x="3"/>
        <item h="1" x="23"/>
        <item h="1" x="48"/>
        <item h="1" x="50"/>
        <item h="1" x="49"/>
        <item h="1" x="38"/>
        <item t="default"/>
      </items>
    </pivotField>
    <pivotField dataField="1" multipleItemSelectionAllowed="1" showAll="0"/>
    <pivotField dataField="1" multipleItemSelectionAllowed="1" showAll="0"/>
    <pivotField dataField="1" multipleItemSelectionAllowed="1" showAll="0"/>
    <pivotField dataField="1" multipleItemSelectionAllowed="1" showAll="0"/>
    <pivotField dataField="1" multipleItemSelectionAllowed="1" showAll="0"/>
  </pivotFields>
  <rowItems count="1">
    <i/>
  </rowItems>
  <colFields count="1">
    <field x="-2"/>
  </colFields>
  <colItems count="5">
    <i>
      <x/>
    </i>
    <i i="1">
      <x v="1"/>
    </i>
    <i i="2">
      <x v="2"/>
    </i>
    <i i="3">
      <x v="3"/>
    </i>
    <i i="4">
      <x v="4"/>
    </i>
  </colItems>
  <pageFields count="1">
    <pageField fld="0" hier="-1"/>
  </pageFields>
  <dataFields count="5">
    <dataField name="Count of Sharing project status updates" fld="4" subtotal="count" baseField="0" baseItem="0"/>
    <dataField name="Count of Agiility" fld="2" subtotal="count" baseField="0" baseItem="0"/>
    <dataField name="Count of High Quality Products" fld="1" subtotal="count" baseField="0" baseItem="0"/>
    <dataField name="Count of On time delivery" fld="5" subtotal="count" baseField="0" baseItem="0"/>
    <dataField name="Count of Proactive in highlighting issues/risks"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1698D0-7CC3-48FB-9AC9-D179C31ED81F}" name="PivotTable33" cacheId="1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62">
  <location ref="A3:B23" firstHeaderRow="1" firstDataRow="2" firstDataCol="1"/>
  <pivotFields count="2">
    <pivotField axis="axisRow" showAll="0">
      <items count="86">
        <item m="1" x="51"/>
        <item m="1" x="66"/>
        <item m="1" x="58"/>
        <item m="1" x="48"/>
        <item m="1" x="52"/>
        <item m="1" x="44"/>
        <item m="1" x="69"/>
        <item m="1" x="76"/>
        <item m="1" x="45"/>
        <item m="1" x="62"/>
        <item m="1" x="79"/>
        <item m="1" x="82"/>
        <item m="1" x="60"/>
        <item m="1" x="49"/>
        <item m="1" x="75"/>
        <item m="1" x="47"/>
        <item m="1" x="77"/>
        <item m="1" x="67"/>
        <item m="1" x="56"/>
        <item m="1" x="71"/>
        <item m="1" x="84"/>
        <item m="1" x="68"/>
        <item m="1" x="59"/>
        <item m="1" x="57"/>
        <item m="1" x="73"/>
        <item m="1" x="65"/>
        <item m="1" x="50"/>
        <item m="1" x="63"/>
        <item m="1" x="81"/>
        <item m="1" x="78"/>
        <item m="1" x="70"/>
        <item m="1" x="55"/>
        <item x="27"/>
        <item m="1" x="72"/>
        <item m="1" x="61"/>
        <item m="1" x="80"/>
        <item m="1" x="83"/>
        <item m="1" x="54"/>
        <item m="1" x="46"/>
        <item m="1" x="74"/>
        <item m="1" x="53"/>
        <item m="1" x="64"/>
        <item x="0"/>
        <item x="1"/>
        <item x="2"/>
        <item x="3"/>
        <item x="4"/>
        <item x="5"/>
        <item x="6"/>
        <item x="7"/>
        <item x="8"/>
        <item x="9"/>
        <item x="10"/>
        <item x="11"/>
        <item x="12"/>
        <item x="13"/>
        <item x="14"/>
        <item x="15"/>
        <item x="16"/>
        <item x="17"/>
        <item x="18"/>
        <item x="19"/>
        <item x="20"/>
        <item x="21"/>
        <item x="24"/>
        <item x="28"/>
        <item x="29"/>
        <item x="31"/>
        <item x="22"/>
        <item x="23"/>
        <item x="25"/>
        <item x="26"/>
        <item x="30"/>
        <item x="32"/>
        <item x="33"/>
        <item x="34"/>
        <item x="35"/>
        <item x="36"/>
        <item x="37"/>
        <item x="38"/>
        <item x="39"/>
        <item x="40"/>
        <item x="41"/>
        <item x="42"/>
        <item x="43"/>
        <item t="default"/>
      </items>
    </pivotField>
    <pivotField axis="axisCol" dataField="1" showAll="0">
      <items count="6">
        <item h="1" x="1"/>
        <item x="0"/>
        <item h="1" x="2"/>
        <item h="1" x="3"/>
        <item h="1" x="4"/>
        <item t="default"/>
      </items>
    </pivotField>
  </pivotFields>
  <rowFields count="1">
    <field x="0"/>
  </rowFields>
  <rowItems count="19">
    <i>
      <x v="42"/>
    </i>
    <i>
      <x v="43"/>
    </i>
    <i>
      <x v="44"/>
    </i>
    <i>
      <x v="45"/>
    </i>
    <i>
      <x v="46"/>
    </i>
    <i>
      <x v="47"/>
    </i>
    <i>
      <x v="48"/>
    </i>
    <i>
      <x v="49"/>
    </i>
    <i>
      <x v="50"/>
    </i>
    <i>
      <x v="51"/>
    </i>
    <i>
      <x v="52"/>
    </i>
    <i>
      <x v="53"/>
    </i>
    <i>
      <x v="54"/>
    </i>
    <i>
      <x v="55"/>
    </i>
    <i>
      <x v="56"/>
    </i>
    <i>
      <x v="57"/>
    </i>
    <i>
      <x v="58"/>
    </i>
    <i>
      <x v="59"/>
    </i>
    <i>
      <x v="60"/>
    </i>
  </rowItems>
  <colFields count="1">
    <field x="1"/>
  </colFields>
  <colItems count="1">
    <i>
      <x v="1"/>
    </i>
  </colItems>
  <dataFields count="1">
    <dataField name="Count of Strongly Disagree/Disagree" fld="1" subtotal="count" baseField="0" baseItem="0"/>
  </dataFields>
  <chartFormats count="66">
    <chartFormat chart="54" format="45" series="1">
      <pivotArea type="data" outline="0" fieldPosition="0">
        <references count="2">
          <reference field="4294967294" count="1" selected="0">
            <x v="0"/>
          </reference>
          <reference field="0" count="1" selected="0">
            <x v="0"/>
          </reference>
        </references>
      </pivotArea>
    </chartFormat>
    <chartFormat chart="54" format="46">
      <pivotArea type="data" outline="0" fieldPosition="0">
        <references count="3">
          <reference field="4294967294" count="1" selected="0">
            <x v="0"/>
          </reference>
          <reference field="0" count="1" selected="0">
            <x v="0"/>
          </reference>
          <reference field="1" count="1" selected="0">
            <x v="0"/>
          </reference>
        </references>
      </pivotArea>
    </chartFormat>
    <chartFormat chart="54" format="47" series="1">
      <pivotArea type="data" outline="0" fieldPosition="0">
        <references count="2">
          <reference field="4294967294" count="1" selected="0">
            <x v="0"/>
          </reference>
          <reference field="0" count="1" selected="0">
            <x v="1"/>
          </reference>
        </references>
      </pivotArea>
    </chartFormat>
    <chartFormat chart="54" format="48">
      <pivotArea type="data" outline="0" fieldPosition="0">
        <references count="3">
          <reference field="4294967294" count="1" selected="0">
            <x v="0"/>
          </reference>
          <reference field="0" count="1" selected="0">
            <x v="1"/>
          </reference>
          <reference field="1" count="1" selected="0">
            <x v="0"/>
          </reference>
        </references>
      </pivotArea>
    </chartFormat>
    <chartFormat chart="54" format="49" series="1">
      <pivotArea type="data" outline="0" fieldPosition="0">
        <references count="2">
          <reference field="4294967294" count="1" selected="0">
            <x v="0"/>
          </reference>
          <reference field="0" count="1" selected="0">
            <x v="2"/>
          </reference>
        </references>
      </pivotArea>
    </chartFormat>
    <chartFormat chart="54" format="50">
      <pivotArea type="data" outline="0" fieldPosition="0">
        <references count="3">
          <reference field="4294967294" count="1" selected="0">
            <x v="0"/>
          </reference>
          <reference field="0" count="1" selected="0">
            <x v="2"/>
          </reference>
          <reference field="1" count="1" selected="0">
            <x v="0"/>
          </reference>
        </references>
      </pivotArea>
    </chartFormat>
    <chartFormat chart="54" format="51" series="1">
      <pivotArea type="data" outline="0" fieldPosition="0">
        <references count="2">
          <reference field="4294967294" count="1" selected="0">
            <x v="0"/>
          </reference>
          <reference field="0" count="1" selected="0">
            <x v="3"/>
          </reference>
        </references>
      </pivotArea>
    </chartFormat>
    <chartFormat chart="54" format="52">
      <pivotArea type="data" outline="0" fieldPosition="0">
        <references count="3">
          <reference field="4294967294" count="1" selected="0">
            <x v="0"/>
          </reference>
          <reference field="0" count="1" selected="0">
            <x v="3"/>
          </reference>
          <reference field="1" count="1" selected="0">
            <x v="0"/>
          </reference>
        </references>
      </pivotArea>
    </chartFormat>
    <chartFormat chart="54" format="53" series="1">
      <pivotArea type="data" outline="0" fieldPosition="0">
        <references count="2">
          <reference field="4294967294" count="1" selected="0">
            <x v="0"/>
          </reference>
          <reference field="0" count="1" selected="0">
            <x v="4"/>
          </reference>
        </references>
      </pivotArea>
    </chartFormat>
    <chartFormat chart="54" format="54">
      <pivotArea type="data" outline="0" fieldPosition="0">
        <references count="3">
          <reference field="4294967294" count="1" selected="0">
            <x v="0"/>
          </reference>
          <reference field="0" count="1" selected="0">
            <x v="4"/>
          </reference>
          <reference field="1" count="1" selected="0">
            <x v="0"/>
          </reference>
        </references>
      </pivotArea>
    </chartFormat>
    <chartFormat chart="54" format="55" series="1">
      <pivotArea type="data" outline="0" fieldPosition="0">
        <references count="2">
          <reference field="4294967294" count="1" selected="0">
            <x v="0"/>
          </reference>
          <reference field="0" count="1" selected="0">
            <x v="5"/>
          </reference>
        </references>
      </pivotArea>
    </chartFormat>
    <chartFormat chart="54" format="56">
      <pivotArea type="data" outline="0" fieldPosition="0">
        <references count="3">
          <reference field="4294967294" count="1" selected="0">
            <x v="0"/>
          </reference>
          <reference field="0" count="1" selected="0">
            <x v="5"/>
          </reference>
          <reference field="1" count="1" selected="0">
            <x v="0"/>
          </reference>
        </references>
      </pivotArea>
    </chartFormat>
    <chartFormat chart="54" format="57" series="1">
      <pivotArea type="data" outline="0" fieldPosition="0">
        <references count="2">
          <reference field="4294967294" count="1" selected="0">
            <x v="0"/>
          </reference>
          <reference field="0" count="1" selected="0">
            <x v="6"/>
          </reference>
        </references>
      </pivotArea>
    </chartFormat>
    <chartFormat chart="54" format="58">
      <pivotArea type="data" outline="0" fieldPosition="0">
        <references count="3">
          <reference field="4294967294" count="1" selected="0">
            <x v="0"/>
          </reference>
          <reference field="0" count="1" selected="0">
            <x v="6"/>
          </reference>
          <reference field="1" count="1" selected="0">
            <x v="0"/>
          </reference>
        </references>
      </pivotArea>
    </chartFormat>
    <chartFormat chart="54" format="59" series="1">
      <pivotArea type="data" outline="0" fieldPosition="0">
        <references count="2">
          <reference field="4294967294" count="1" selected="0">
            <x v="0"/>
          </reference>
          <reference field="0" count="1" selected="0">
            <x v="7"/>
          </reference>
        </references>
      </pivotArea>
    </chartFormat>
    <chartFormat chart="54" format="60">
      <pivotArea type="data" outline="0" fieldPosition="0">
        <references count="3">
          <reference field="4294967294" count="1" selected="0">
            <x v="0"/>
          </reference>
          <reference field="0" count="1" selected="0">
            <x v="7"/>
          </reference>
          <reference field="1" count="1" selected="0">
            <x v="0"/>
          </reference>
        </references>
      </pivotArea>
    </chartFormat>
    <chartFormat chart="54" format="61" series="1">
      <pivotArea type="data" outline="0" fieldPosition="0">
        <references count="2">
          <reference field="4294967294" count="1" selected="0">
            <x v="0"/>
          </reference>
          <reference field="0" count="1" selected="0">
            <x v="9"/>
          </reference>
        </references>
      </pivotArea>
    </chartFormat>
    <chartFormat chart="54" format="62">
      <pivotArea type="data" outline="0" fieldPosition="0">
        <references count="3">
          <reference field="4294967294" count="1" selected="0">
            <x v="0"/>
          </reference>
          <reference field="0" count="1" selected="0">
            <x v="9"/>
          </reference>
          <reference field="1" count="1" selected="0">
            <x v="0"/>
          </reference>
        </references>
      </pivotArea>
    </chartFormat>
    <chartFormat chart="54" format="63" series="1">
      <pivotArea type="data" outline="0" fieldPosition="0">
        <references count="2">
          <reference field="4294967294" count="1" selected="0">
            <x v="0"/>
          </reference>
          <reference field="0" count="1" selected="0">
            <x v="12"/>
          </reference>
        </references>
      </pivotArea>
    </chartFormat>
    <chartFormat chart="54" format="64">
      <pivotArea type="data" outline="0" fieldPosition="0">
        <references count="3">
          <reference field="4294967294" count="1" selected="0">
            <x v="0"/>
          </reference>
          <reference field="0" count="1" selected="0">
            <x v="12"/>
          </reference>
          <reference field="1" count="1" selected="0">
            <x v="0"/>
          </reference>
        </references>
      </pivotArea>
    </chartFormat>
    <chartFormat chart="54" format="65" series="1">
      <pivotArea type="data" outline="0" fieldPosition="0">
        <references count="2">
          <reference field="4294967294" count="1" selected="0">
            <x v="0"/>
          </reference>
          <reference field="0" count="1" selected="0">
            <x v="13"/>
          </reference>
        </references>
      </pivotArea>
    </chartFormat>
    <chartFormat chart="54" format="66">
      <pivotArea type="data" outline="0" fieldPosition="0">
        <references count="3">
          <reference field="4294967294" count="1" selected="0">
            <x v="0"/>
          </reference>
          <reference field="0" count="1" selected="0">
            <x v="13"/>
          </reference>
          <reference field="1" count="1" selected="0">
            <x v="0"/>
          </reference>
        </references>
      </pivotArea>
    </chartFormat>
    <chartFormat chart="54" format="67" series="1">
      <pivotArea type="data" outline="0" fieldPosition="0">
        <references count="2">
          <reference field="4294967294" count="1" selected="0">
            <x v="0"/>
          </reference>
          <reference field="0" count="1" selected="0">
            <x v="14"/>
          </reference>
        </references>
      </pivotArea>
    </chartFormat>
    <chartFormat chart="54" format="68">
      <pivotArea type="data" outline="0" fieldPosition="0">
        <references count="3">
          <reference field="4294967294" count="1" selected="0">
            <x v="0"/>
          </reference>
          <reference field="0" count="1" selected="0">
            <x v="14"/>
          </reference>
          <reference field="1" count="1" selected="0">
            <x v="0"/>
          </reference>
        </references>
      </pivotArea>
    </chartFormat>
    <chartFormat chart="54" format="69" series="1">
      <pivotArea type="data" outline="0" fieldPosition="0">
        <references count="2">
          <reference field="4294967294" count="1" selected="0">
            <x v="0"/>
          </reference>
          <reference field="0" count="1" selected="0">
            <x v="15"/>
          </reference>
        </references>
      </pivotArea>
    </chartFormat>
    <chartFormat chart="54" format="70">
      <pivotArea type="data" outline="0" fieldPosition="0">
        <references count="3">
          <reference field="4294967294" count="1" selected="0">
            <x v="0"/>
          </reference>
          <reference field="0" count="1" selected="0">
            <x v="15"/>
          </reference>
          <reference field="1" count="1" selected="0">
            <x v="0"/>
          </reference>
        </references>
      </pivotArea>
    </chartFormat>
    <chartFormat chart="54" format="71" series="1">
      <pivotArea type="data" outline="0" fieldPosition="0">
        <references count="2">
          <reference field="4294967294" count="1" selected="0">
            <x v="0"/>
          </reference>
          <reference field="0" count="1" selected="0">
            <x v="16"/>
          </reference>
        </references>
      </pivotArea>
    </chartFormat>
    <chartFormat chart="54" format="72">
      <pivotArea type="data" outline="0" fieldPosition="0">
        <references count="3">
          <reference field="4294967294" count="1" selected="0">
            <x v="0"/>
          </reference>
          <reference field="0" count="1" selected="0">
            <x v="16"/>
          </reference>
          <reference field="1" count="1" selected="0">
            <x v="0"/>
          </reference>
        </references>
      </pivotArea>
    </chartFormat>
    <chartFormat chart="54" format="73" series="1">
      <pivotArea type="data" outline="0" fieldPosition="0">
        <references count="2">
          <reference field="4294967294" count="1" selected="0">
            <x v="0"/>
          </reference>
          <reference field="0" count="1" selected="0">
            <x v="17"/>
          </reference>
        </references>
      </pivotArea>
    </chartFormat>
    <chartFormat chart="54" format="74">
      <pivotArea type="data" outline="0" fieldPosition="0">
        <references count="3">
          <reference field="4294967294" count="1" selected="0">
            <x v="0"/>
          </reference>
          <reference field="0" count="1" selected="0">
            <x v="17"/>
          </reference>
          <reference field="1" count="1" selected="0">
            <x v="0"/>
          </reference>
        </references>
      </pivotArea>
    </chartFormat>
    <chartFormat chart="54" format="75" series="1">
      <pivotArea type="data" outline="0" fieldPosition="0">
        <references count="2">
          <reference field="4294967294" count="1" selected="0">
            <x v="0"/>
          </reference>
          <reference field="0" count="1" selected="0">
            <x v="20"/>
          </reference>
        </references>
      </pivotArea>
    </chartFormat>
    <chartFormat chart="54" format="76">
      <pivotArea type="data" outline="0" fieldPosition="0">
        <references count="3">
          <reference field="4294967294" count="1" selected="0">
            <x v="0"/>
          </reference>
          <reference field="0" count="1" selected="0">
            <x v="20"/>
          </reference>
          <reference field="1" count="1" selected="0">
            <x v="0"/>
          </reference>
        </references>
      </pivotArea>
    </chartFormat>
    <chartFormat chart="54" format="77" series="1">
      <pivotArea type="data" outline="0" fieldPosition="0">
        <references count="2">
          <reference field="4294967294" count="1" selected="0">
            <x v="0"/>
          </reference>
          <reference field="0" count="1" selected="0">
            <x v="21"/>
          </reference>
        </references>
      </pivotArea>
    </chartFormat>
    <chartFormat chart="54" format="78">
      <pivotArea type="data" outline="0" fieldPosition="0">
        <references count="3">
          <reference field="4294967294" count="1" selected="0">
            <x v="0"/>
          </reference>
          <reference field="0" count="1" selected="0">
            <x v="21"/>
          </reference>
          <reference field="1" count="1" selected="0">
            <x v="0"/>
          </reference>
        </references>
      </pivotArea>
    </chartFormat>
    <chartFormat chart="54" format="79" series="1">
      <pivotArea type="data" outline="0" fieldPosition="0">
        <references count="2">
          <reference field="4294967294" count="1" selected="0">
            <x v="0"/>
          </reference>
          <reference field="0" count="1" selected="0">
            <x v="22"/>
          </reference>
        </references>
      </pivotArea>
    </chartFormat>
    <chartFormat chart="54" format="80">
      <pivotArea type="data" outline="0" fieldPosition="0">
        <references count="3">
          <reference field="4294967294" count="1" selected="0">
            <x v="0"/>
          </reference>
          <reference field="0" count="1" selected="0">
            <x v="22"/>
          </reference>
          <reference field="1" count="1" selected="0">
            <x v="0"/>
          </reference>
        </references>
      </pivotArea>
    </chartFormat>
    <chartFormat chart="54" format="81" series="1">
      <pivotArea type="data" outline="0" fieldPosition="0">
        <references count="2">
          <reference field="4294967294" count="1" selected="0">
            <x v="0"/>
          </reference>
          <reference field="0" count="1" selected="0">
            <x v="24"/>
          </reference>
        </references>
      </pivotArea>
    </chartFormat>
    <chartFormat chart="54" format="82">
      <pivotArea type="data" outline="0" fieldPosition="0">
        <references count="3">
          <reference field="4294967294" count="1" selected="0">
            <x v="0"/>
          </reference>
          <reference field="0" count="1" selected="0">
            <x v="24"/>
          </reference>
          <reference field="1" count="1" selected="0">
            <x v="0"/>
          </reference>
        </references>
      </pivotArea>
    </chartFormat>
    <chartFormat chart="54" format="83" series="1">
      <pivotArea type="data" outline="0" fieldPosition="0">
        <references count="2">
          <reference field="4294967294" count="1" selected="0">
            <x v="0"/>
          </reference>
          <reference field="0" count="1" selected="0">
            <x v="26"/>
          </reference>
        </references>
      </pivotArea>
    </chartFormat>
    <chartFormat chart="54" format="84">
      <pivotArea type="data" outline="0" fieldPosition="0">
        <references count="3">
          <reference field="4294967294" count="1" selected="0">
            <x v="0"/>
          </reference>
          <reference field="0" count="1" selected="0">
            <x v="26"/>
          </reference>
          <reference field="1" count="1" selected="0">
            <x v="0"/>
          </reference>
        </references>
      </pivotArea>
    </chartFormat>
    <chartFormat chart="54" format="85" series="1">
      <pivotArea type="data" outline="0" fieldPosition="0">
        <references count="2">
          <reference field="4294967294" count="1" selected="0">
            <x v="0"/>
          </reference>
          <reference field="0" count="1" selected="0">
            <x v="27"/>
          </reference>
        </references>
      </pivotArea>
    </chartFormat>
    <chartFormat chart="54" format="86">
      <pivotArea type="data" outline="0" fieldPosition="0">
        <references count="3">
          <reference field="4294967294" count="1" selected="0">
            <x v="0"/>
          </reference>
          <reference field="0" count="1" selected="0">
            <x v="27"/>
          </reference>
          <reference field="1" count="1" selected="0">
            <x v="0"/>
          </reference>
        </references>
      </pivotArea>
    </chartFormat>
    <chartFormat chart="54" format="87" series="1">
      <pivotArea type="data" outline="0" fieldPosition="0">
        <references count="2">
          <reference field="4294967294" count="1" selected="0">
            <x v="0"/>
          </reference>
          <reference field="0" count="1" selected="0">
            <x v="29"/>
          </reference>
        </references>
      </pivotArea>
    </chartFormat>
    <chartFormat chart="54" format="88">
      <pivotArea type="data" outline="0" fieldPosition="0">
        <references count="3">
          <reference field="4294967294" count="1" selected="0">
            <x v="0"/>
          </reference>
          <reference field="0" count="1" selected="0">
            <x v="29"/>
          </reference>
          <reference field="1" count="1" selected="0">
            <x v="0"/>
          </reference>
        </references>
      </pivotArea>
    </chartFormat>
    <chartFormat chart="54" format="89" series="1">
      <pivotArea type="data" outline="0" fieldPosition="0">
        <references count="2">
          <reference field="4294967294" count="1" selected="0">
            <x v="0"/>
          </reference>
          <reference field="0" count="1" selected="0">
            <x v="31"/>
          </reference>
        </references>
      </pivotArea>
    </chartFormat>
    <chartFormat chart="54" format="90">
      <pivotArea type="data" outline="0" fieldPosition="0">
        <references count="3">
          <reference field="4294967294" count="1" selected="0">
            <x v="0"/>
          </reference>
          <reference field="0" count="1" selected="0">
            <x v="31"/>
          </reference>
          <reference field="1" count="1" selected="0">
            <x v="0"/>
          </reference>
        </references>
      </pivotArea>
    </chartFormat>
    <chartFormat chart="54" format="91" series="1">
      <pivotArea type="data" outline="0" fieldPosition="0">
        <references count="2">
          <reference field="4294967294" count="1" selected="0">
            <x v="0"/>
          </reference>
          <reference field="0" count="1" selected="0">
            <x v="32"/>
          </reference>
        </references>
      </pivotArea>
    </chartFormat>
    <chartFormat chart="54" format="92">
      <pivotArea type="data" outline="0" fieldPosition="0">
        <references count="3">
          <reference field="4294967294" count="1" selected="0">
            <x v="0"/>
          </reference>
          <reference field="0" count="1" selected="0">
            <x v="32"/>
          </reference>
          <reference field="1" count="1" selected="0">
            <x v="0"/>
          </reference>
        </references>
      </pivotArea>
    </chartFormat>
    <chartFormat chart="54" format="93" series="1">
      <pivotArea type="data" outline="0" fieldPosition="0">
        <references count="2">
          <reference field="4294967294" count="1" selected="0">
            <x v="0"/>
          </reference>
          <reference field="0" count="1" selected="0">
            <x v="8"/>
          </reference>
        </references>
      </pivotArea>
    </chartFormat>
    <chartFormat chart="54" format="94" series="1">
      <pivotArea type="data" outline="0" fieldPosition="0">
        <references count="2">
          <reference field="4294967294" count="1" selected="0">
            <x v="0"/>
          </reference>
          <reference field="0" count="1" selected="0">
            <x v="10"/>
          </reference>
        </references>
      </pivotArea>
    </chartFormat>
    <chartFormat chart="54" format="95" series="1">
      <pivotArea type="data" outline="0" fieldPosition="0">
        <references count="2">
          <reference field="4294967294" count="1" selected="0">
            <x v="0"/>
          </reference>
          <reference field="0" count="1" selected="0">
            <x v="11"/>
          </reference>
        </references>
      </pivotArea>
    </chartFormat>
    <chartFormat chart="54" format="96" series="1">
      <pivotArea type="data" outline="0" fieldPosition="0">
        <references count="2">
          <reference field="4294967294" count="1" selected="0">
            <x v="0"/>
          </reference>
          <reference field="0" count="1" selected="0">
            <x v="18"/>
          </reference>
        </references>
      </pivotArea>
    </chartFormat>
    <chartFormat chart="54" format="97" series="1">
      <pivotArea type="data" outline="0" fieldPosition="0">
        <references count="2">
          <reference field="4294967294" count="1" selected="0">
            <x v="0"/>
          </reference>
          <reference field="0" count="1" selected="0">
            <x v="19"/>
          </reference>
        </references>
      </pivotArea>
    </chartFormat>
    <chartFormat chart="54" format="98" series="1">
      <pivotArea type="data" outline="0" fieldPosition="0">
        <references count="2">
          <reference field="4294967294" count="1" selected="0">
            <x v="0"/>
          </reference>
          <reference field="0" count="1" selected="0">
            <x v="23"/>
          </reference>
        </references>
      </pivotArea>
    </chartFormat>
    <chartFormat chart="54" format="99" series="1">
      <pivotArea type="data" outline="0" fieldPosition="0">
        <references count="2">
          <reference field="4294967294" count="1" selected="0">
            <x v="0"/>
          </reference>
          <reference field="0" count="1" selected="0">
            <x v="25"/>
          </reference>
        </references>
      </pivotArea>
    </chartFormat>
    <chartFormat chart="54" format="100" series="1">
      <pivotArea type="data" outline="0" fieldPosition="0">
        <references count="2">
          <reference field="4294967294" count="1" selected="0">
            <x v="0"/>
          </reference>
          <reference field="0" count="1" selected="0">
            <x v="28"/>
          </reference>
        </references>
      </pivotArea>
    </chartFormat>
    <chartFormat chart="54" format="101" series="1">
      <pivotArea type="data" outline="0" fieldPosition="0">
        <references count="2">
          <reference field="4294967294" count="1" selected="0">
            <x v="0"/>
          </reference>
          <reference field="0" count="1" selected="0">
            <x v="30"/>
          </reference>
        </references>
      </pivotArea>
    </chartFormat>
    <chartFormat chart="54" format="102" series="1">
      <pivotArea type="data" outline="0" fieldPosition="0">
        <references count="2">
          <reference field="4294967294" count="1" selected="0">
            <x v="0"/>
          </reference>
          <reference field="0" count="1" selected="0">
            <x v="33"/>
          </reference>
        </references>
      </pivotArea>
    </chartFormat>
    <chartFormat chart="54" format="103" series="1">
      <pivotArea type="data" outline="0" fieldPosition="0">
        <references count="2">
          <reference field="4294967294" count="1" selected="0">
            <x v="0"/>
          </reference>
          <reference field="0" count="1" selected="0">
            <x v="34"/>
          </reference>
        </references>
      </pivotArea>
    </chartFormat>
    <chartFormat chart="54" format="104" series="1">
      <pivotArea type="data" outline="0" fieldPosition="0">
        <references count="2">
          <reference field="4294967294" count="1" selected="0">
            <x v="0"/>
          </reference>
          <reference field="0" count="1" selected="0">
            <x v="35"/>
          </reference>
        </references>
      </pivotArea>
    </chartFormat>
    <chartFormat chart="54" format="105" series="1">
      <pivotArea type="data" outline="0" fieldPosition="0">
        <references count="2">
          <reference field="4294967294" count="1" selected="0">
            <x v="0"/>
          </reference>
          <reference field="0" count="1" selected="0">
            <x v="36"/>
          </reference>
        </references>
      </pivotArea>
    </chartFormat>
    <chartFormat chart="54" format="106" series="1">
      <pivotArea type="data" outline="0" fieldPosition="0">
        <references count="2">
          <reference field="4294967294" count="1" selected="0">
            <x v="0"/>
          </reference>
          <reference field="0" count="1" selected="0">
            <x v="37"/>
          </reference>
        </references>
      </pivotArea>
    </chartFormat>
    <chartFormat chart="54" format="107" series="1">
      <pivotArea type="data" outline="0" fieldPosition="0">
        <references count="2">
          <reference field="4294967294" count="1" selected="0">
            <x v="0"/>
          </reference>
          <reference field="0" count="1" selected="0">
            <x v="38"/>
          </reference>
        </references>
      </pivotArea>
    </chartFormat>
    <chartFormat chart="54" format="108" series="1">
      <pivotArea type="data" outline="0" fieldPosition="0">
        <references count="2">
          <reference field="4294967294" count="1" selected="0">
            <x v="0"/>
          </reference>
          <reference field="0" count="1" selected="0">
            <x v="39"/>
          </reference>
        </references>
      </pivotArea>
    </chartFormat>
    <chartFormat chart="54" format="109" series="1">
      <pivotArea type="data" outline="0" fieldPosition="0">
        <references count="2">
          <reference field="4294967294" count="1" selected="0">
            <x v="0"/>
          </reference>
          <reference field="0" count="1" selected="0">
            <x v="40"/>
          </reference>
        </references>
      </pivotArea>
    </chartFormat>
    <chartFormat chart="54" format="110" series="1">
      <pivotArea type="data" outline="0" fieldPosition="0">
        <references count="2">
          <reference field="4294967294" count="1" selected="0">
            <x v="0"/>
          </reference>
          <reference field="0" count="1" selected="0">
            <x v="4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1A4898-CF47-4A3C-A4B3-6014D84E5CBD}" name="PivotTable32" cacheId="16"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60">
  <location ref="A3:B15" firstHeaderRow="1" firstDataRow="2" firstDataCol="1"/>
  <pivotFields count="13">
    <pivotField showAll="0"/>
    <pivotField showAll="0"/>
    <pivotField axis="axisRow" dataField="1" showAll="0">
      <items count="52">
        <item x="48"/>
        <item x="1"/>
        <item x="21"/>
        <item x="25"/>
        <item x="11"/>
        <item x="35"/>
        <item x="45"/>
        <item x="36"/>
        <item x="24"/>
        <item x="50"/>
        <item x="9"/>
        <item x="44"/>
        <item x="28"/>
        <item x="2"/>
        <item x="37"/>
        <item x="26"/>
        <item x="41"/>
        <item x="16"/>
        <item x="4"/>
        <item x="43"/>
        <item x="13"/>
        <item x="49"/>
        <item x="14"/>
        <item x="42"/>
        <item x="10"/>
        <item x="46"/>
        <item x="15"/>
        <item x="0"/>
        <item x="30"/>
        <item x="34"/>
        <item x="6"/>
        <item x="47"/>
        <item x="40"/>
        <item x="5"/>
        <item x="12"/>
        <item x="18"/>
        <item x="17"/>
        <item x="32"/>
        <item x="3"/>
        <item x="19"/>
        <item x="8"/>
        <item x="27"/>
        <item x="20"/>
        <item x="31"/>
        <item x="29"/>
        <item x="33"/>
        <item x="7"/>
        <item x="22"/>
        <item x="38"/>
        <item x="39"/>
        <item x="23"/>
        <item t="default"/>
      </items>
    </pivotField>
    <pivotField showAll="0"/>
    <pivotField showAll="0"/>
    <pivotField showAll="0"/>
    <pivotField showAll="0"/>
    <pivotField showAll="0"/>
    <pivotField showAll="0"/>
    <pivotField showAll="0"/>
    <pivotField showAll="0"/>
    <pivotField showAll="0"/>
    <pivotField axis="axisCol" showAll="0">
      <items count="7">
        <item h="1" x="3"/>
        <item h="1" x="0"/>
        <item h="1" x="2"/>
        <item h="1" m="1" x="5"/>
        <item h="1" x="1"/>
        <item x="4"/>
        <item t="default"/>
      </items>
    </pivotField>
  </pivotFields>
  <rowFields count="1">
    <field x="2"/>
  </rowFields>
  <rowItems count="11">
    <i>
      <x v="7"/>
    </i>
    <i>
      <x v="8"/>
    </i>
    <i>
      <x v="17"/>
    </i>
    <i>
      <x v="19"/>
    </i>
    <i>
      <x v="22"/>
    </i>
    <i>
      <x v="25"/>
    </i>
    <i>
      <x v="28"/>
    </i>
    <i>
      <x v="34"/>
    </i>
    <i>
      <x v="42"/>
    </i>
    <i>
      <x v="46"/>
    </i>
    <i>
      <x v="49"/>
    </i>
  </rowItems>
  <colFields count="1">
    <field x="12"/>
  </colFields>
  <colItems count="1">
    <i>
      <x v="5"/>
    </i>
  </colItems>
  <dataFields count="1">
    <dataField name="Count of Audience Name" fld="2" subtotal="count" baseField="0" baseItem="0"/>
  </dataFields>
  <chartFormats count="23">
    <chartFormat chart="42" format="264" series="1">
      <pivotArea type="data" outline="0" fieldPosition="0"/>
    </chartFormat>
    <chartFormat chart="42" format="266" series="1">
      <pivotArea type="data" outline="0" fieldPosition="0">
        <references count="1">
          <reference field="4294967294" count="1" selected="0">
            <x v="0"/>
          </reference>
        </references>
      </pivotArea>
    </chartFormat>
    <chartFormat chart="42" format="267">
      <pivotArea type="data" outline="0" fieldPosition="0">
        <references count="2">
          <reference field="4294967294" count="1" selected="0">
            <x v="0"/>
          </reference>
          <reference field="2" count="1" selected="0">
            <x v="7"/>
          </reference>
        </references>
      </pivotArea>
    </chartFormat>
    <chartFormat chart="42" format="268">
      <pivotArea type="data" outline="0" fieldPosition="0">
        <references count="2">
          <reference field="4294967294" count="1" selected="0">
            <x v="0"/>
          </reference>
          <reference field="2" count="1" selected="0">
            <x v="8"/>
          </reference>
        </references>
      </pivotArea>
    </chartFormat>
    <chartFormat chart="42" format="269">
      <pivotArea type="data" outline="0" fieldPosition="0">
        <references count="2">
          <reference field="4294967294" count="1" selected="0">
            <x v="0"/>
          </reference>
          <reference field="2" count="1" selected="0">
            <x v="17"/>
          </reference>
        </references>
      </pivotArea>
    </chartFormat>
    <chartFormat chart="42" format="270">
      <pivotArea type="data" outline="0" fieldPosition="0">
        <references count="2">
          <reference field="4294967294" count="1" selected="0">
            <x v="0"/>
          </reference>
          <reference field="2" count="1" selected="0">
            <x v="19"/>
          </reference>
        </references>
      </pivotArea>
    </chartFormat>
    <chartFormat chart="42" format="271">
      <pivotArea type="data" outline="0" fieldPosition="0">
        <references count="2">
          <reference field="4294967294" count="1" selected="0">
            <x v="0"/>
          </reference>
          <reference field="2" count="1" selected="0">
            <x v="22"/>
          </reference>
        </references>
      </pivotArea>
    </chartFormat>
    <chartFormat chart="42" format="272">
      <pivotArea type="data" outline="0" fieldPosition="0">
        <references count="2">
          <reference field="4294967294" count="1" selected="0">
            <x v="0"/>
          </reference>
          <reference field="2" count="1" selected="0">
            <x v="25"/>
          </reference>
        </references>
      </pivotArea>
    </chartFormat>
    <chartFormat chart="42" format="273">
      <pivotArea type="data" outline="0" fieldPosition="0">
        <references count="2">
          <reference field="4294967294" count="1" selected="0">
            <x v="0"/>
          </reference>
          <reference field="2" count="1" selected="0">
            <x v="28"/>
          </reference>
        </references>
      </pivotArea>
    </chartFormat>
    <chartFormat chart="42" format="274">
      <pivotArea type="data" outline="0" fieldPosition="0">
        <references count="2">
          <reference field="4294967294" count="1" selected="0">
            <x v="0"/>
          </reference>
          <reference field="2" count="1" selected="0">
            <x v="34"/>
          </reference>
        </references>
      </pivotArea>
    </chartFormat>
    <chartFormat chart="42" format="275">
      <pivotArea type="data" outline="0" fieldPosition="0">
        <references count="2">
          <reference field="4294967294" count="1" selected="0">
            <x v="0"/>
          </reference>
          <reference field="2" count="1" selected="0">
            <x v="42"/>
          </reference>
        </references>
      </pivotArea>
    </chartFormat>
    <chartFormat chart="42" format="276">
      <pivotArea type="data" outline="0" fieldPosition="0">
        <references count="2">
          <reference field="4294967294" count="1" selected="0">
            <x v="0"/>
          </reference>
          <reference field="2" count="1" selected="0">
            <x v="46"/>
          </reference>
        </references>
      </pivotArea>
    </chartFormat>
    <chartFormat chart="42" format="277">
      <pivotArea type="data" outline="0" fieldPosition="0">
        <references count="2">
          <reference field="4294967294" count="1" selected="0">
            <x v="0"/>
          </reference>
          <reference field="2" count="1" selected="0">
            <x v="49"/>
          </reference>
        </references>
      </pivotArea>
    </chartFormat>
    <chartFormat chart="42" format="278">
      <pivotArea type="data" outline="0" fieldPosition="0">
        <references count="2">
          <reference field="4294967294" count="1" selected="0">
            <x v="0"/>
          </reference>
          <reference field="2" count="1" selected="0">
            <x v="0"/>
          </reference>
        </references>
      </pivotArea>
    </chartFormat>
    <chartFormat chart="42" format="279">
      <pivotArea type="data" outline="0" fieldPosition="0">
        <references count="2">
          <reference field="4294967294" count="1" selected="0">
            <x v="0"/>
          </reference>
          <reference field="2" count="1" selected="0">
            <x v="9"/>
          </reference>
        </references>
      </pivotArea>
    </chartFormat>
    <chartFormat chart="42" format="280">
      <pivotArea type="data" outline="0" fieldPosition="0">
        <references count="2">
          <reference field="4294967294" count="1" selected="0">
            <x v="0"/>
          </reference>
          <reference field="2" count="1" selected="0">
            <x v="12"/>
          </reference>
        </references>
      </pivotArea>
    </chartFormat>
    <chartFormat chart="42" format="281">
      <pivotArea type="data" outline="0" fieldPosition="0">
        <references count="2">
          <reference field="4294967294" count="1" selected="0">
            <x v="0"/>
          </reference>
          <reference field="2" count="1" selected="0">
            <x v="15"/>
          </reference>
        </references>
      </pivotArea>
    </chartFormat>
    <chartFormat chart="42" format="282">
      <pivotArea type="data" outline="0" fieldPosition="0">
        <references count="2">
          <reference field="4294967294" count="1" selected="0">
            <x v="0"/>
          </reference>
          <reference field="2" count="1" selected="0">
            <x v="21"/>
          </reference>
        </references>
      </pivotArea>
    </chartFormat>
    <chartFormat chart="42" format="283">
      <pivotArea type="data" outline="0" fieldPosition="0">
        <references count="2">
          <reference field="4294967294" count="1" selected="0">
            <x v="0"/>
          </reference>
          <reference field="2" count="1" selected="0">
            <x v="27"/>
          </reference>
        </references>
      </pivotArea>
    </chartFormat>
    <chartFormat chart="42" format="284">
      <pivotArea type="data" outline="0" fieldPosition="0">
        <references count="2">
          <reference field="4294967294" count="1" selected="0">
            <x v="0"/>
          </reference>
          <reference field="2" count="1" selected="0">
            <x v="35"/>
          </reference>
        </references>
      </pivotArea>
    </chartFormat>
    <chartFormat chart="42" format="285">
      <pivotArea type="data" outline="0" fieldPosition="0">
        <references count="2">
          <reference field="4294967294" count="1" selected="0">
            <x v="0"/>
          </reference>
          <reference field="2" count="1" selected="0">
            <x v="37"/>
          </reference>
        </references>
      </pivotArea>
    </chartFormat>
    <chartFormat chart="42" format="286">
      <pivotArea type="data" outline="0" fieldPosition="0">
        <references count="2">
          <reference field="4294967294" count="1" selected="0">
            <x v="0"/>
          </reference>
          <reference field="2" count="1" selected="0">
            <x v="38"/>
          </reference>
        </references>
      </pivotArea>
    </chartFormat>
    <chartFormat chart="42" format="287">
      <pivotArea type="data" outline="0" fieldPosition="0">
        <references count="2">
          <reference field="4294967294" count="1" selected="0">
            <x v="0"/>
          </reference>
          <reference field="2" count="1" selected="0">
            <x v="4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B7F106-0415-43AD-9B8C-E021A4466A91}" name="PivotTable35"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B56" firstHeaderRow="1" firstDataRow="1" firstDataCol="1"/>
  <pivotFields count="14">
    <pivotField showAll="0"/>
    <pivotField showAll="0"/>
    <pivotField showAll="0"/>
    <pivotField showAll="0"/>
    <pivotField axis="axisRow" showAll="0">
      <items count="53">
        <item x="1"/>
        <item x="45"/>
        <item x="44"/>
        <item x="28"/>
        <item x="4"/>
        <item x="0"/>
        <item x="6"/>
        <item x="47"/>
        <item x="40"/>
        <item x="5"/>
        <item x="12"/>
        <item x="32"/>
        <item x="8"/>
        <item x="20"/>
        <item x="7"/>
        <item x="22"/>
        <item x="39"/>
        <item x="11"/>
        <item x="41"/>
        <item x="16"/>
        <item x="43"/>
        <item x="13"/>
        <item x="14"/>
        <item x="42"/>
        <item x="46"/>
        <item x="15"/>
        <item x="30"/>
        <item x="18"/>
        <item x="19"/>
        <item x="29"/>
        <item x="21"/>
        <item x="25"/>
        <item x="35"/>
        <item x="36"/>
        <item x="24"/>
        <item x="9"/>
        <item x="26"/>
        <item x="34"/>
        <item x="27"/>
        <item x="31"/>
        <item x="33"/>
        <item x="10"/>
        <item x="17"/>
        <item x="2"/>
        <item x="37"/>
        <item x="3"/>
        <item x="23"/>
        <item x="48"/>
        <item x="50"/>
        <item x="49"/>
        <item x="38"/>
        <item x="51"/>
        <item t="default"/>
      </items>
    </pivotField>
    <pivotField showAll="0"/>
    <pivotField showAll="0"/>
    <pivotField showAll="0"/>
    <pivotField showAll="0"/>
    <pivotField showAll="0"/>
    <pivotField showAll="0"/>
    <pivotField showAll="0"/>
    <pivotField dataField="1" showAll="0"/>
    <pivotField showAll="0"/>
  </pivotFields>
  <rowFields count="1">
    <field x="4"/>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Items count="1">
    <i/>
  </colItems>
  <dataFields count="1">
    <dataField name="Sum of Overall Experience with GCO Team"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7F59D6-BD78-4162-96E9-69191303B465}" name="PivotTable34"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E35" firstHeaderRow="1" firstDataRow="2" firstDataCol="1"/>
  <pivotFields count="2">
    <pivotField axis="axisRow" showAll="0">
      <items count="104">
        <item m="1" x="99"/>
        <item m="1" x="102"/>
        <item m="1" x="92"/>
        <item m="1" x="77"/>
        <item m="1" x="88"/>
        <item m="1" x="96"/>
        <item m="1" x="70"/>
        <item m="1" x="73"/>
        <item m="1" x="101"/>
        <item m="1" x="91"/>
        <item m="1" x="68"/>
        <item m="1" x="60"/>
        <item m="1" x="78"/>
        <item m="1" x="65"/>
        <item m="1" x="61"/>
        <item m="1" x="83"/>
        <item m="1" x="94"/>
        <item m="1" x="56"/>
        <item m="1" x="54"/>
        <item m="1" x="74"/>
        <item m="1" x="75"/>
        <item m="1" x="53"/>
        <item m="1" x="62"/>
        <item m="1" x="76"/>
        <item m="1" x="79"/>
        <item m="1" x="67"/>
        <item m="1" x="59"/>
        <item m="1" x="80"/>
        <item m="1" x="71"/>
        <item m="1" x="98"/>
        <item m="1" x="97"/>
        <item m="1" x="69"/>
        <item m="1" x="84"/>
        <item m="1" x="86"/>
        <item m="1" x="81"/>
        <item m="1" x="89"/>
        <item m="1" x="85"/>
        <item m="1" x="58"/>
        <item m="1" x="55"/>
        <item m="1" x="87"/>
        <item m="1" x="82"/>
        <item m="1" x="100"/>
        <item m="1" x="72"/>
        <item m="1" x="57"/>
        <item m="1" x="66"/>
        <item m="1" x="93"/>
        <item m="1" x="95"/>
        <item m="1" x="51"/>
        <item m="1" x="52"/>
        <item m="1" x="63"/>
        <item m="1" x="90"/>
        <item x="1"/>
        <item x="6"/>
        <item x="7"/>
        <item x="9"/>
        <item x="14"/>
        <item x="17"/>
        <item x="24"/>
        <item x="26"/>
        <item x="34"/>
        <item m="1" x="64"/>
        <item x="46"/>
        <item x="50"/>
        <item x="0"/>
        <item x="2"/>
        <item x="3"/>
        <item x="4"/>
        <item x="5"/>
        <item x="8"/>
        <item x="10"/>
        <item x="11"/>
        <item x="12"/>
        <item x="13"/>
        <item x="15"/>
        <item x="16"/>
        <item x="18"/>
        <item x="19"/>
        <item x="20"/>
        <item x="21"/>
        <item x="22"/>
        <item x="23"/>
        <item x="25"/>
        <item x="27"/>
        <item x="28"/>
        <item x="29"/>
        <item x="30"/>
        <item x="31"/>
        <item x="32"/>
        <item x="33"/>
        <item x="35"/>
        <item x="36"/>
        <item x="37"/>
        <item x="38"/>
        <item x="39"/>
        <item x="40"/>
        <item x="41"/>
        <item x="42"/>
        <item x="43"/>
        <item x="44"/>
        <item x="45"/>
        <item x="47"/>
        <item x="48"/>
        <item x="49"/>
        <item t="default"/>
      </items>
    </pivotField>
    <pivotField axis="axisCol" dataField="1" showAll="0">
      <items count="6">
        <item h="1" x="1"/>
        <item h="1" x="3"/>
        <item x="4"/>
        <item x="0"/>
        <item x="2"/>
        <item t="default"/>
      </items>
    </pivotField>
  </pivotFields>
  <rowFields count="1">
    <field x="0"/>
  </rowFields>
  <rowItems count="31">
    <i>
      <x v="63"/>
    </i>
    <i>
      <x v="64"/>
    </i>
    <i>
      <x v="66"/>
    </i>
    <i>
      <x v="67"/>
    </i>
    <i>
      <x v="68"/>
    </i>
    <i>
      <x v="69"/>
    </i>
    <i>
      <x v="70"/>
    </i>
    <i>
      <x v="71"/>
    </i>
    <i>
      <x v="72"/>
    </i>
    <i>
      <x v="74"/>
    </i>
    <i>
      <x v="76"/>
    </i>
    <i>
      <x v="77"/>
    </i>
    <i>
      <x v="78"/>
    </i>
    <i>
      <x v="79"/>
    </i>
    <i>
      <x v="81"/>
    </i>
    <i>
      <x v="83"/>
    </i>
    <i>
      <x v="84"/>
    </i>
    <i>
      <x v="85"/>
    </i>
    <i>
      <x v="86"/>
    </i>
    <i>
      <x v="88"/>
    </i>
    <i>
      <x v="89"/>
    </i>
    <i>
      <x v="91"/>
    </i>
    <i>
      <x v="92"/>
    </i>
    <i>
      <x v="93"/>
    </i>
    <i>
      <x v="94"/>
    </i>
    <i>
      <x v="96"/>
    </i>
    <i>
      <x v="97"/>
    </i>
    <i>
      <x v="99"/>
    </i>
    <i>
      <x v="100"/>
    </i>
    <i>
      <x v="101"/>
    </i>
    <i t="grand">
      <x/>
    </i>
  </rowItems>
  <colFields count="1">
    <field x="1"/>
  </colFields>
  <colItems count="4">
    <i>
      <x v="2"/>
    </i>
    <i>
      <x v="3"/>
    </i>
    <i>
      <x v="4"/>
    </i>
    <i t="grand">
      <x/>
    </i>
  </colItems>
  <dataFields count="1">
    <dataField name="Count of Current Engagement Frequency" fld="1"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Engagement_Frequency" xr10:uid="{E76258FD-2820-4E9A-AA46-D3EC1C861D06}" sourceName="Current Engagement Frequency">
  <pivotTables>
    <pivotTable tabId="36" name="PivotTable32"/>
  </pivotTables>
  <data>
    <tabular pivotCacheId="1335733924">
      <items count="6">
        <i x="3"/>
        <i x="0"/>
        <i x="4" s="1"/>
        <i x="2"/>
        <i x="1"/>
        <i x="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udience_Name" xr10:uid="{A289FF9E-F3DC-40CB-9CE9-7F873AD70B98}" sourceName="Audience Name">
  <pivotTables>
    <pivotTable tabId="53" name="PivotTable13"/>
  </pivotTables>
  <data>
    <tabular pivotCacheId="1171543824">
      <items count="51">
        <i x="21" s="1"/>
        <i x="11" s="1"/>
        <i x="36" s="1"/>
        <i x="50" s="1"/>
        <i x="44" s="1"/>
        <i x="2" s="1"/>
        <i x="26" s="1"/>
        <i x="4" s="1"/>
        <i x="14" s="1"/>
        <i x="0" s="1"/>
        <i x="17" s="1"/>
        <i x="31" s="1"/>
        <i x="7" s="1"/>
        <i x="39" s="1"/>
        <i x="48" s="1" nd="1"/>
        <i x="1" s="1" nd="1"/>
        <i x="25" s="1" nd="1"/>
        <i x="35" s="1" nd="1"/>
        <i x="45" s="1" nd="1"/>
        <i x="24" s="1" nd="1"/>
        <i x="9" s="1" nd="1"/>
        <i x="28" s="1" nd="1"/>
        <i x="37" s="1" nd="1"/>
        <i x="41" s="1" nd="1"/>
        <i x="16" s="1" nd="1"/>
        <i x="43" s="1" nd="1"/>
        <i x="13" s="1" nd="1"/>
        <i x="49" s="1" nd="1"/>
        <i x="42" s="1" nd="1"/>
        <i x="10" s="1" nd="1"/>
        <i x="46" s="1" nd="1"/>
        <i x="15" s="1" nd="1"/>
        <i x="30" s="1" nd="1"/>
        <i x="34" s="1" nd="1"/>
        <i x="6" s="1" nd="1"/>
        <i x="47" s="1" nd="1"/>
        <i x="40" s="1" nd="1"/>
        <i x="5" s="1" nd="1"/>
        <i x="12" s="1" nd="1"/>
        <i x="18" s="1" nd="1"/>
        <i x="32" s="1" nd="1"/>
        <i x="3" s="1" nd="1"/>
        <i x="19" s="1" nd="1"/>
        <i x="8" s="1" nd="1"/>
        <i x="27" s="1" nd="1"/>
        <i x="20" s="1" nd="1"/>
        <i x="29" s="1" nd="1"/>
        <i x="33" s="1" nd="1"/>
        <i x="22" s="1" nd="1"/>
        <i x="38" s="1" nd="1"/>
        <i x="2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ongly_Disagree_Disagree" xr10:uid="{AF28A2A4-D962-4BC9-A350-55798E2917A1}" sourceName="Strongly Disagree/Disagree">
  <pivotTables>
    <pivotTable tabId="53" name="PivotTable13"/>
  </pivotTables>
  <data>
    <tabular pivotCacheId="1171543824" sortOrder="descending">
      <items count="6">
        <i x="4" s="1"/>
        <i x="3"/>
        <i x="5"/>
        <i x="1"/>
        <i x="2"/>
        <i x="0"/>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rrent Engagement Frequency" xr10:uid="{ED988AEB-981F-4F7F-8FFB-26E4E3E39E0A}" cache="Slicer_Current_Engagement_Frequency" caption="Current Engagement Frequency" columnCount="2" style="SlicerStyleLight4" rowHeight="241300"/>
  <slicer name="Strongly Disagree/Disagree" xr10:uid="{EE30C444-0B5E-4017-8B2D-128F2359C1E3}" cache="Slicer_Strongly_Disagree_Disagree" caption="Strongly Disagree/Disagree"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udience Name" xr10:uid="{12AA8120-9DCC-4FCD-9DE6-FF0C488E3433}" cache="Slicer_Audience_Name" caption="Audience Nam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F25EE-D241-4A51-9C76-536D61ED5B17}" name="Table1" displayName="Table1" ref="A1:N52" totalsRowShown="0" headerRowDxfId="23" dataDxfId="22">
  <autoFilter ref="A1:N52" xr:uid="{FE47283E-32EE-40AD-B734-53D53F76F71D}"/>
  <tableColumns count="14">
    <tableColumn id="1" xr3:uid="{B0826114-A6AC-47F1-8239-B48A96117598}" name="Workgroup" dataDxfId="21"/>
    <tableColumn id="2" xr3:uid="{8B3068E6-D7AA-494F-8DF5-BCB318F02F6C}" name="Program"/>
    <tableColumn id="3" xr3:uid="{B35CDE44-2BD6-4DF4-ABAC-46C36F9796A0}" name="Shared By"/>
    <tableColumn id="4" xr3:uid="{35933B6E-CA83-471C-988F-47008049B3A4}" name="Audience Name" dataDxfId="20"/>
    <tableColumn id="15" xr3:uid="{43D87744-286B-480C-A7DC-E6BDAF72DCF7}" name="Audience Name2" dataDxfId="19">
      <calculatedColumnFormula>CONCATENATE(Table1[[#This Row],[Program]]," ", Table1[[#This Row],[Audience Name]])</calculatedColumnFormula>
    </tableColumn>
    <tableColumn id="5" xr3:uid="{6E55961B-F315-4E98-A0F6-D411B8E9F332}" name="Emp ID" dataDxfId="18"/>
    <tableColumn id="6" xr3:uid="{8DF3F11C-760C-430D-A998-B7C6A3284F6C}" name="Email" dataDxfId="17" dataCellStyle="Hyperlink"/>
    <tableColumn id="7" xr3:uid="{3A37CDEC-2E45-4B38-8FBA-54B5BB7CA744}" name="High Quality Products" dataDxfId="16"/>
    <tableColumn id="8" xr3:uid="{2B2B250F-8186-4E92-ACAA-0B054C303266}" name="Agiility" dataDxfId="15"/>
    <tableColumn id="9" xr3:uid="{19DF9763-411A-4E07-94C8-BFA94C11173A}" name="Proactive in highlighting issues/risks" dataDxfId="14"/>
    <tableColumn id="10" xr3:uid="{60A955A2-A258-4752-BA35-78B37FE03908}" name="Sharing project status updates" dataDxfId="13"/>
    <tableColumn id="11" xr3:uid="{BC0C96AD-BA4D-42C4-BD74-2F802614D147}" name="On time delivery" dataDxfId="12"/>
    <tableColumn id="12" xr3:uid="{76FB262C-1C93-4C94-9838-D5D3F80DBCC5}" name="Overall Experience with GCO Team" dataDxfId="11"/>
    <tableColumn id="13" xr3:uid="{7FD6959E-C6BE-409F-8D76-B0FCE2D8FF7F}" name="Current Engagement Frequency"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FBB325-AF5B-412A-8043-7952A0D7C9DC}" name="Table2" displayName="Table2" ref="AF4:AK9" totalsRowShown="0">
  <autoFilter ref="AF4:AK9" xr:uid="{61401F98-7749-405B-BF28-6012D00DD1D2}"/>
  <tableColumns count="6">
    <tableColumn id="1" xr3:uid="{E234CF8E-CE52-45A8-B1E7-2BD1384EAD05}" name="Counts"/>
    <tableColumn id="3" xr3:uid="{9D2DB1F2-E9E2-4AD6-B91B-F90A70FB0B69}" name="High Quality Products"/>
    <tableColumn id="4" xr3:uid="{0D711DD4-97F5-4CB5-821B-6F8ECFD828BC}" name="Agility"/>
    <tableColumn id="5" xr3:uid="{17342E43-8935-4F66-A927-ACF540D81F2F}" name="Proactive in highlighting issues/risks"/>
    <tableColumn id="6" xr3:uid="{81CBF04E-A69E-4BEC-A78A-FC9685892313}" name="Sharing project status updates"/>
    <tableColumn id="7" xr3:uid="{599FA40B-81B5-4209-BC39-91673DCB600A}" name="On time deliver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7BF14F3-5A20-4BF6-ACA0-56FA8AF4B482}" name="Table4" displayName="Table4" ref="B2:G53" totalsRowShown="0" headerRowDxfId="9" dataDxfId="7" headerRowBorderDxfId="8" tableBorderDxfId="6">
  <autoFilter ref="B2:G53" xr:uid="{C7289917-A945-4D78-92E5-8F556C81C514}"/>
  <tableColumns count="6">
    <tableColumn id="1" xr3:uid="{6A784A54-C288-4B65-B904-B8BFE87D6EB1}" name="Audience Name" dataDxfId="5"/>
    <tableColumn id="2" xr3:uid="{3B942E0A-D919-4D14-87A4-A2DF8AE20007}" name="High Quality Products" dataDxfId="4"/>
    <tableColumn id="3" xr3:uid="{30BC0087-A1FF-4BCC-9594-0AE6CED9EC86}" name="Agiility" dataDxfId="3"/>
    <tableColumn id="4" xr3:uid="{8B80CD01-2A08-4931-B268-B685C476CA8B}" name="Proactive in highlighting issues/risks" dataDxfId="2"/>
    <tableColumn id="5" xr3:uid="{372C30B8-8774-4968-923F-13C7FAC9C5AA}" name="Sharing project status updates" dataDxfId="1"/>
    <tableColumn id="6" xr3:uid="{AB3D9D7F-A47E-4861-9869-595CB36EC77D}" name="On time delive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mailto:nancy.womack@here.com" TargetMode="External"/><Relationship Id="rId18" Type="http://schemas.openxmlformats.org/officeDocument/2006/relationships/hyperlink" Target="mailto:sneha.chaphalkar@here.com" TargetMode="External"/><Relationship Id="rId26" Type="http://schemas.openxmlformats.org/officeDocument/2006/relationships/hyperlink" Target="mailto:alind.chonkar@here.com" TargetMode="External"/><Relationship Id="rId39" Type="http://schemas.openxmlformats.org/officeDocument/2006/relationships/hyperlink" Target="mailto:nicholas.hatcher@here.com" TargetMode="External"/><Relationship Id="rId3" Type="http://schemas.openxmlformats.org/officeDocument/2006/relationships/hyperlink" Target="mailto:don.peterson@here.com" TargetMode="External"/><Relationship Id="rId21" Type="http://schemas.openxmlformats.org/officeDocument/2006/relationships/hyperlink" Target="mailto:hussain.khan@here.com" TargetMode="External"/><Relationship Id="rId34" Type="http://schemas.openxmlformats.org/officeDocument/2006/relationships/hyperlink" Target="mailto:andrew.wilson@here.com" TargetMode="External"/><Relationship Id="rId42" Type="http://schemas.openxmlformats.org/officeDocument/2006/relationships/hyperlink" Target="mailto:ravindar.dayachand@here.com" TargetMode="External"/><Relationship Id="rId47" Type="http://schemas.openxmlformats.org/officeDocument/2006/relationships/hyperlink" Target="mailto:max.berggren@here.com" TargetMode="External"/><Relationship Id="rId50" Type="http://schemas.openxmlformats.org/officeDocument/2006/relationships/hyperlink" Target="mailto:katherine.aanensen@here.com" TargetMode="External"/><Relationship Id="rId7" Type="http://schemas.openxmlformats.org/officeDocument/2006/relationships/hyperlink" Target="mailto:nisha.sharma@here.com" TargetMode="External"/><Relationship Id="rId12" Type="http://schemas.openxmlformats.org/officeDocument/2006/relationships/hyperlink" Target="mailto:andrey.ulianov@here.com" TargetMode="External"/><Relationship Id="rId17" Type="http://schemas.openxmlformats.org/officeDocument/2006/relationships/hyperlink" Target="mailto:michael.weiland@here.com" TargetMode="External"/><Relationship Id="rId25" Type="http://schemas.openxmlformats.org/officeDocument/2006/relationships/hyperlink" Target="mailto:tony.rzany@here.com" TargetMode="External"/><Relationship Id="rId33" Type="http://schemas.openxmlformats.org/officeDocument/2006/relationships/hyperlink" Target="mailto:oliver.monson@here.com" TargetMode="External"/><Relationship Id="rId38" Type="http://schemas.openxmlformats.org/officeDocument/2006/relationships/hyperlink" Target="mailto:syed.akhtar@here.com" TargetMode="External"/><Relationship Id="rId46" Type="http://schemas.openxmlformats.org/officeDocument/2006/relationships/hyperlink" Target="mailto:raymond.omara@here.com" TargetMode="External"/><Relationship Id="rId2" Type="http://schemas.openxmlformats.org/officeDocument/2006/relationships/hyperlink" Target="mailto:anuradha.shenoy@here.com" TargetMode="External"/><Relationship Id="rId16" Type="http://schemas.openxmlformats.org/officeDocument/2006/relationships/hyperlink" Target="mailto:sjon.kuijpers@here.com" TargetMode="External"/><Relationship Id="rId20" Type="http://schemas.openxmlformats.org/officeDocument/2006/relationships/hyperlink" Target="mailto:sagar.zaveri@here.com" TargetMode="External"/><Relationship Id="rId29" Type="http://schemas.openxmlformats.org/officeDocument/2006/relationships/hyperlink" Target="mailto:phillip.bernard@here.com" TargetMode="External"/><Relationship Id="rId41" Type="http://schemas.openxmlformats.org/officeDocument/2006/relationships/hyperlink" Target="mailto:johan.beerens@here.com" TargetMode="External"/><Relationship Id="rId54" Type="http://schemas.openxmlformats.org/officeDocument/2006/relationships/table" Target="../tables/table2.xml"/><Relationship Id="rId1" Type="http://schemas.openxmlformats.org/officeDocument/2006/relationships/hyperlink" Target="mailto:michael.kennedy@here.com" TargetMode="External"/><Relationship Id="rId6" Type="http://schemas.openxmlformats.org/officeDocument/2006/relationships/hyperlink" Target="mailto:james.panek@here.com" TargetMode="External"/><Relationship Id="rId11" Type="http://schemas.openxmlformats.org/officeDocument/2006/relationships/hyperlink" Target="mailto:ashutosh.gawade@here.com" TargetMode="External"/><Relationship Id="rId24" Type="http://schemas.openxmlformats.org/officeDocument/2006/relationships/hyperlink" Target="mailto:william.marks@here.com" TargetMode="External"/><Relationship Id="rId32" Type="http://schemas.openxmlformats.org/officeDocument/2006/relationships/hyperlink" Target="mailto:justin.link@here.com" TargetMode="External"/><Relationship Id="rId37" Type="http://schemas.openxmlformats.org/officeDocument/2006/relationships/hyperlink" Target="mailto:riya.matai@here.com" TargetMode="External"/><Relationship Id="rId40" Type="http://schemas.openxmlformats.org/officeDocument/2006/relationships/hyperlink" Target="mailto:nitin.kare@here.com" TargetMode="External"/><Relationship Id="rId45" Type="http://schemas.openxmlformats.org/officeDocument/2006/relationships/hyperlink" Target="mailto:jeremy.3.young@here.com" TargetMode="External"/><Relationship Id="rId53" Type="http://schemas.openxmlformats.org/officeDocument/2006/relationships/table" Target="../tables/table1.xml"/><Relationship Id="rId5" Type="http://schemas.openxmlformats.org/officeDocument/2006/relationships/hyperlink" Target="mailto:krzysztof.makiel@here.com" TargetMode="External"/><Relationship Id="rId15" Type="http://schemas.openxmlformats.org/officeDocument/2006/relationships/hyperlink" Target="mailto:rainu.pierce@here.com" TargetMode="External"/><Relationship Id="rId23" Type="http://schemas.openxmlformats.org/officeDocument/2006/relationships/hyperlink" Target="mailto:ben.woodley@here.com" TargetMode="External"/><Relationship Id="rId28" Type="http://schemas.openxmlformats.org/officeDocument/2006/relationships/hyperlink" Target="mailto:olivier.ricordel@here.com" TargetMode="External"/><Relationship Id="rId36" Type="http://schemas.openxmlformats.org/officeDocument/2006/relationships/hyperlink" Target="mailto:devendra.samant@here.com" TargetMode="External"/><Relationship Id="rId49" Type="http://schemas.openxmlformats.org/officeDocument/2006/relationships/hyperlink" Target="mailto:adhithya.rajan@here.com" TargetMode="External"/><Relationship Id="rId10" Type="http://schemas.openxmlformats.org/officeDocument/2006/relationships/hyperlink" Target="mailto:guy.romano@here.com" TargetMode="External"/><Relationship Id="rId19" Type="http://schemas.openxmlformats.org/officeDocument/2006/relationships/hyperlink" Target="mailto:eugene.feld@here.com" TargetMode="External"/><Relationship Id="rId31" Type="http://schemas.openxmlformats.org/officeDocument/2006/relationships/hyperlink" Target="mailto:kristin.thompson@here.com" TargetMode="External"/><Relationship Id="rId44" Type="http://schemas.openxmlformats.org/officeDocument/2006/relationships/hyperlink" Target="mailto:alexander.dominique@here.com" TargetMode="External"/><Relationship Id="rId52" Type="http://schemas.openxmlformats.org/officeDocument/2006/relationships/printerSettings" Target="../printerSettings/printerSettings2.bin"/><Relationship Id="rId4" Type="http://schemas.openxmlformats.org/officeDocument/2006/relationships/hyperlink" Target="mailto:juilo.arrioja@here.com" TargetMode="External"/><Relationship Id="rId9" Type="http://schemas.openxmlformats.org/officeDocument/2006/relationships/hyperlink" Target="mailto:uyen.nguyen@here.com" TargetMode="External"/><Relationship Id="rId14" Type="http://schemas.openxmlformats.org/officeDocument/2006/relationships/hyperlink" Target="mailto:susan.petr@here.com" TargetMode="External"/><Relationship Id="rId22" Type="http://schemas.openxmlformats.org/officeDocument/2006/relationships/hyperlink" Target="mailto:andrea.gagliardi@here.com" TargetMode="External"/><Relationship Id="rId27" Type="http://schemas.openxmlformats.org/officeDocument/2006/relationships/hyperlink" Target="mailto:sheila.nedelcu@here.com" TargetMode="External"/><Relationship Id="rId30" Type="http://schemas.openxmlformats.org/officeDocument/2006/relationships/hyperlink" Target="mailto:michael.deuerling@here.com" TargetMode="External"/><Relationship Id="rId35" Type="http://schemas.openxmlformats.org/officeDocument/2006/relationships/hyperlink" Target="mailto:matt.melvin@here.com" TargetMode="External"/><Relationship Id="rId43" Type="http://schemas.openxmlformats.org/officeDocument/2006/relationships/hyperlink" Target="mailto:girish.vengaserry@here.com" TargetMode="External"/><Relationship Id="rId48" Type="http://schemas.openxmlformats.org/officeDocument/2006/relationships/hyperlink" Target="mailto:nisha.saini@here.com" TargetMode="External"/><Relationship Id="rId8" Type="http://schemas.openxmlformats.org/officeDocument/2006/relationships/hyperlink" Target="mailto:vikas.wadhwa@here.com" TargetMode="External"/><Relationship Id="rId51" Type="http://schemas.openxmlformats.org/officeDocument/2006/relationships/hyperlink" Target="mailto:brandon.ludwig@here.com" TargetMode="Externa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20701-9DEB-4724-B57A-81E379FBA3C1}">
  <sheetPr codeName="Sheet1"/>
  <dimension ref="A6:BD181"/>
  <sheetViews>
    <sheetView showGridLines="0" tabSelected="1" topLeftCell="B1" zoomScale="59" zoomScaleNormal="78" workbookViewId="0">
      <selection activeCell="O9" sqref="O9:Q9"/>
    </sheetView>
  </sheetViews>
  <sheetFormatPr defaultRowHeight="15" x14ac:dyDescent="0.25"/>
  <cols>
    <col min="5" max="5" width="6.42578125" customWidth="1"/>
    <col min="19" max="36" width="0" hidden="1" customWidth="1"/>
  </cols>
  <sheetData>
    <row r="6" spans="1:48" x14ac:dyDescent="0.25">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row>
    <row r="7" spans="1:48" x14ac:dyDescent="0.25">
      <c r="A7" s="33"/>
      <c r="B7" s="40"/>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33"/>
      <c r="AU7" s="33"/>
      <c r="AV7" s="34"/>
    </row>
    <row r="8" spans="1:48" x14ac:dyDescent="0.25">
      <c r="A8" s="89"/>
      <c r="B8" s="89"/>
      <c r="C8" s="89"/>
      <c r="D8" s="40"/>
      <c r="E8" s="40"/>
      <c r="F8" s="40"/>
      <c r="G8" s="40"/>
      <c r="H8" s="40"/>
      <c r="I8" s="40"/>
      <c r="J8" s="40"/>
      <c r="K8" s="40"/>
      <c r="L8" s="40"/>
      <c r="M8" s="40"/>
      <c r="N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33"/>
      <c r="AU8" s="33"/>
      <c r="AV8" s="34"/>
    </row>
    <row r="9" spans="1:48" ht="21" x14ac:dyDescent="0.35">
      <c r="B9" s="90" t="s">
        <v>146</v>
      </c>
      <c r="C9" s="91"/>
      <c r="D9" s="92"/>
      <c r="H9" s="40"/>
      <c r="I9" s="40"/>
      <c r="J9" s="89"/>
      <c r="K9" s="89"/>
      <c r="L9" s="89"/>
      <c r="M9" s="40"/>
      <c r="N9" s="40"/>
      <c r="O9" s="90" t="s">
        <v>204</v>
      </c>
      <c r="P9" s="91"/>
      <c r="Q9" s="92"/>
      <c r="R9" s="40"/>
      <c r="S9" s="40"/>
      <c r="T9" s="40"/>
      <c r="U9" s="40"/>
      <c r="V9" s="40"/>
      <c r="W9" s="40"/>
      <c r="X9" s="40"/>
      <c r="Y9" s="40"/>
      <c r="Z9" s="40"/>
      <c r="AA9" s="40"/>
      <c r="AB9" s="40"/>
      <c r="AC9" s="40"/>
      <c r="AD9" s="40"/>
      <c r="AE9" s="40"/>
      <c r="AF9" s="40"/>
      <c r="AG9" s="40"/>
      <c r="AH9" s="40"/>
      <c r="AI9" s="40"/>
      <c r="AJ9" s="40"/>
      <c r="AK9" s="40"/>
      <c r="AL9" s="40"/>
      <c r="AM9" s="40"/>
      <c r="AN9" s="40"/>
      <c r="AO9" s="40"/>
      <c r="AP9" s="40"/>
      <c r="AQ9" s="40"/>
    </row>
    <row r="10" spans="1:48" x14ac:dyDescent="0.25">
      <c r="A10" s="33"/>
      <c r="B10" s="40"/>
      <c r="C10" s="40"/>
      <c r="D10" s="40"/>
      <c r="E10" s="89"/>
      <c r="F10" s="89"/>
      <c r="G10" s="40"/>
      <c r="H10" s="40"/>
      <c r="I10" s="40"/>
      <c r="J10" s="40"/>
      <c r="K10" s="40"/>
      <c r="L10" s="40"/>
      <c r="M10" s="40"/>
      <c r="N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row>
    <row r="11" spans="1:48" x14ac:dyDescent="0.25">
      <c r="A11" s="33"/>
      <c r="B11" s="40"/>
      <c r="C11" s="40"/>
      <c r="D11" s="40"/>
      <c r="E11" s="40"/>
      <c r="F11" s="40"/>
      <c r="G11" s="40"/>
      <c r="H11" s="40"/>
      <c r="I11" s="40"/>
      <c r="J11" s="40"/>
      <c r="K11" s="40"/>
      <c r="L11" s="40"/>
      <c r="M11" s="40"/>
      <c r="N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row>
    <row r="12" spans="1:48" x14ac:dyDescent="0.25">
      <c r="A12" s="33"/>
      <c r="B12" s="40"/>
      <c r="C12" s="40"/>
      <c r="D12" s="40"/>
      <c r="E12" s="40"/>
      <c r="F12" s="40"/>
      <c r="G12" s="40"/>
      <c r="H12" s="40"/>
      <c r="I12" s="40"/>
      <c r="J12" s="40"/>
      <c r="K12" s="40"/>
      <c r="L12" s="40"/>
      <c r="M12" s="40"/>
      <c r="N12" s="40"/>
      <c r="O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33"/>
      <c r="AU12" s="33"/>
      <c r="AV12" s="34"/>
    </row>
    <row r="13" spans="1:48" x14ac:dyDescent="0.25">
      <c r="A13" s="33"/>
      <c r="B13" s="40"/>
      <c r="C13" s="40"/>
      <c r="D13" s="40"/>
      <c r="E13" s="40"/>
      <c r="F13" s="40"/>
      <c r="G13" s="40"/>
      <c r="H13" s="40"/>
      <c r="I13" s="40"/>
      <c r="J13" s="40"/>
      <c r="K13" s="40"/>
      <c r="L13" s="40"/>
      <c r="M13" s="40"/>
      <c r="N13" s="40"/>
      <c r="R13" s="40"/>
      <c r="S13" s="40"/>
      <c r="T13" s="40"/>
      <c r="U13" s="40"/>
      <c r="V13" s="40"/>
      <c r="W13" s="40"/>
      <c r="X13" s="40"/>
      <c r="Y13" s="40"/>
      <c r="Z13" s="40"/>
      <c r="AA13" s="40"/>
      <c r="AB13" s="40"/>
      <c r="AC13" s="40"/>
      <c r="AD13" s="40"/>
      <c r="AE13" s="40"/>
      <c r="AF13" s="40"/>
      <c r="AG13" s="40"/>
      <c r="AH13" s="40"/>
      <c r="AI13" s="40"/>
      <c r="AJ13" s="40"/>
      <c r="AU13" s="33"/>
      <c r="AV13" s="34"/>
    </row>
    <row r="14" spans="1:48" x14ac:dyDescent="0.25">
      <c r="A14" s="33"/>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R14" s="40"/>
      <c r="AS14" s="40"/>
      <c r="AT14" s="33"/>
      <c r="AU14" s="33"/>
      <c r="AV14" s="34"/>
    </row>
    <row r="15" spans="1:48" ht="18.75" x14ac:dyDescent="0.3">
      <c r="A15" s="33"/>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R15" s="94"/>
      <c r="AS15" s="94"/>
      <c r="AT15" s="94"/>
    </row>
    <row r="16" spans="1:48" ht="21" x14ac:dyDescent="0.35">
      <c r="A16" s="33"/>
      <c r="B16" s="40"/>
      <c r="C16" s="40"/>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R16" s="95"/>
      <c r="AS16" s="95"/>
      <c r="AT16" s="95"/>
    </row>
    <row r="17" spans="1:51" x14ac:dyDescent="0.25">
      <c r="A17" s="33"/>
      <c r="B17" s="40"/>
      <c r="C17" s="40"/>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row>
    <row r="18" spans="1:51" x14ac:dyDescent="0.25">
      <c r="A18" s="33"/>
      <c r="B18" s="40"/>
      <c r="C18" s="40"/>
      <c r="D18" s="40"/>
      <c r="E18" s="40"/>
      <c r="F18" s="4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R18" s="40"/>
      <c r="AS18" s="40"/>
      <c r="AT18" s="33"/>
      <c r="AU18" s="33"/>
      <c r="AV18" s="34"/>
    </row>
    <row r="19" spans="1:51" x14ac:dyDescent="0.25">
      <c r="A19" s="33"/>
      <c r="B19" s="40"/>
      <c r="C19" s="40"/>
      <c r="D19" s="40"/>
      <c r="E19" s="40"/>
      <c r="F19" s="40"/>
      <c r="G19" s="40"/>
      <c r="H19" s="40"/>
      <c r="I19" s="40"/>
      <c r="J19" s="40"/>
      <c r="K19" s="40"/>
      <c r="L19" s="40"/>
      <c r="M19" s="40"/>
      <c r="N19" s="40"/>
      <c r="U19" s="40"/>
      <c r="V19" s="40"/>
      <c r="W19" s="40"/>
      <c r="X19" s="40"/>
      <c r="Y19" s="40"/>
      <c r="Z19" s="40"/>
      <c r="AA19" s="40"/>
      <c r="AB19" s="40"/>
      <c r="AC19" s="40"/>
      <c r="AD19" s="40"/>
      <c r="AE19" s="40"/>
      <c r="AF19" s="40"/>
      <c r="AG19" s="40"/>
      <c r="AH19" s="40"/>
      <c r="AI19" s="40"/>
      <c r="AJ19" s="40"/>
      <c r="AR19" s="40"/>
      <c r="AS19" s="40"/>
      <c r="AT19" s="33"/>
      <c r="AU19" s="33"/>
      <c r="AV19" s="34"/>
    </row>
    <row r="20" spans="1:51" x14ac:dyDescent="0.25">
      <c r="A20" s="33"/>
      <c r="B20" s="40"/>
      <c r="C20" s="40"/>
      <c r="D20" s="40"/>
      <c r="E20" s="40"/>
      <c r="F20" s="40"/>
      <c r="G20" s="40"/>
      <c r="H20" s="40"/>
      <c r="I20" s="40"/>
      <c r="J20" s="40"/>
      <c r="K20" s="40"/>
      <c r="L20" s="40"/>
      <c r="M20" s="40"/>
      <c r="N20" s="40"/>
      <c r="U20" s="40"/>
      <c r="V20" s="40"/>
      <c r="W20" s="40"/>
      <c r="X20" s="40"/>
      <c r="Y20" s="40"/>
      <c r="Z20" s="40"/>
      <c r="AA20" s="40"/>
      <c r="AB20" s="40"/>
      <c r="AC20" s="40"/>
      <c r="AD20" s="40"/>
      <c r="AE20" s="40"/>
      <c r="AF20" s="40"/>
      <c r="AG20" s="40"/>
      <c r="AH20" s="40"/>
      <c r="AI20" s="40"/>
      <c r="AJ20" s="40"/>
    </row>
    <row r="21" spans="1:51" x14ac:dyDescent="0.25">
      <c r="A21" s="33"/>
      <c r="B21" s="40"/>
      <c r="C21" s="40"/>
      <c r="D21" s="40"/>
      <c r="E21" s="40"/>
      <c r="F21" s="40"/>
      <c r="G21" s="40"/>
      <c r="H21" s="40"/>
      <c r="I21" s="40"/>
      <c r="J21" s="40"/>
      <c r="K21" s="40"/>
      <c r="L21" s="40"/>
      <c r="M21" s="40"/>
      <c r="N21" s="40"/>
      <c r="U21" s="40"/>
      <c r="V21" s="40"/>
      <c r="W21" s="40"/>
      <c r="X21" s="40"/>
      <c r="Y21" s="40"/>
      <c r="Z21" s="40"/>
      <c r="AA21" s="40"/>
      <c r="AB21" s="40"/>
      <c r="AC21" s="40"/>
      <c r="AD21" s="40"/>
      <c r="AE21" s="40"/>
      <c r="AF21" s="40"/>
      <c r="AG21" s="40"/>
      <c r="AH21" s="40"/>
      <c r="AI21" s="40"/>
      <c r="AJ21" s="40"/>
    </row>
    <row r="22" spans="1:51" x14ac:dyDescent="0.25">
      <c r="A22" s="33"/>
      <c r="B22" s="40"/>
      <c r="C22" s="40"/>
      <c r="D22" s="40"/>
      <c r="E22" s="40"/>
      <c r="F22" s="40"/>
      <c r="G22" s="40"/>
      <c r="H22" s="40"/>
      <c r="I22" s="40"/>
      <c r="J22" s="40"/>
      <c r="K22" s="40"/>
      <c r="L22" s="40"/>
      <c r="M22" s="40"/>
      <c r="N22" s="40"/>
      <c r="O22" s="40"/>
      <c r="P22" s="40"/>
      <c r="Q22" s="40"/>
      <c r="R22" s="40"/>
      <c r="S22" s="40"/>
      <c r="T22" s="40"/>
      <c r="U22" s="40"/>
      <c r="V22" s="40"/>
      <c r="W22" s="40"/>
      <c r="X22" s="40"/>
      <c r="Y22" s="40"/>
      <c r="Z22" s="40"/>
      <c r="AA22" s="40"/>
      <c r="AB22" s="40"/>
      <c r="AC22" s="40"/>
      <c r="AD22" s="40"/>
      <c r="AE22" s="40"/>
      <c r="AF22" s="40"/>
      <c r="AG22" s="40"/>
      <c r="AH22" s="40"/>
      <c r="AI22" s="40"/>
      <c r="AJ22" s="40"/>
    </row>
    <row r="23" spans="1:51" x14ac:dyDescent="0.25">
      <c r="A23" s="33"/>
      <c r="B23" s="40"/>
      <c r="C23" s="40"/>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row>
    <row r="24" spans="1:51" x14ac:dyDescent="0.25">
      <c r="A24" s="33"/>
      <c r="B24" s="40"/>
      <c r="C24" s="40"/>
      <c r="D24" s="40"/>
      <c r="E24" s="40"/>
      <c r="F24" s="40"/>
      <c r="G24" s="40"/>
      <c r="H24" s="40"/>
      <c r="I24" s="40"/>
      <c r="J24" s="40"/>
      <c r="K24" s="40"/>
      <c r="L24" s="40"/>
      <c r="M24" s="40"/>
      <c r="N24" s="40"/>
      <c r="O24" s="93"/>
      <c r="P24" s="93"/>
      <c r="Q24" s="93"/>
      <c r="R24" s="93"/>
      <c r="S24" s="93"/>
      <c r="T24" s="93"/>
      <c r="V24" s="40"/>
      <c r="W24" s="40"/>
      <c r="X24" s="40"/>
      <c r="Y24" s="40"/>
      <c r="Z24" s="40"/>
      <c r="AA24" s="40"/>
      <c r="AB24" s="40"/>
      <c r="AC24" s="40"/>
      <c r="AD24" s="40"/>
      <c r="AE24" s="40"/>
      <c r="AF24" s="40"/>
      <c r="AG24" s="40"/>
      <c r="AH24" s="40"/>
      <c r="AI24" s="40"/>
      <c r="AJ24" s="40"/>
    </row>
    <row r="25" spans="1:51" x14ac:dyDescent="0.25">
      <c r="A25" s="34"/>
      <c r="B25" s="35"/>
      <c r="C25" s="35"/>
      <c r="D25" s="35"/>
      <c r="E25" s="35"/>
      <c r="F25" s="35"/>
      <c r="G25" s="35"/>
      <c r="H25" s="35"/>
      <c r="I25" s="35"/>
      <c r="J25" s="35"/>
      <c r="K25" s="35"/>
      <c r="L25" s="35"/>
      <c r="M25" s="35"/>
      <c r="N25" s="40"/>
      <c r="O25" s="93"/>
      <c r="P25" s="93"/>
      <c r="Q25" s="93"/>
      <c r="R25" s="93"/>
      <c r="S25" s="93"/>
      <c r="T25" s="93"/>
      <c r="V25" s="40"/>
      <c r="W25" s="40"/>
      <c r="X25" s="40"/>
      <c r="Y25" s="40"/>
      <c r="Z25" s="40"/>
      <c r="AA25" s="40"/>
      <c r="AB25" s="40"/>
      <c r="AC25" s="40"/>
      <c r="AD25" s="40"/>
      <c r="AE25" s="40"/>
      <c r="AF25" s="40"/>
      <c r="AG25" s="40"/>
      <c r="AH25" s="40"/>
      <c r="AI25" s="40"/>
      <c r="AJ25" s="40"/>
    </row>
    <row r="26" spans="1:51" x14ac:dyDescent="0.25">
      <c r="A26" s="34"/>
      <c r="D26" s="35"/>
      <c r="E26" s="36"/>
      <c r="I26" s="35"/>
      <c r="J26" s="35"/>
      <c r="K26" s="35"/>
      <c r="L26" s="35"/>
      <c r="M26" s="35"/>
      <c r="N26" s="35"/>
      <c r="O26" s="93"/>
      <c r="P26" s="93"/>
      <c r="Q26" s="93"/>
      <c r="R26" s="93"/>
      <c r="S26" s="93"/>
      <c r="T26" s="93"/>
      <c r="V26" s="35"/>
      <c r="W26" s="35"/>
      <c r="X26" s="35"/>
      <c r="Y26" s="35"/>
      <c r="Z26" s="35"/>
      <c r="AA26" s="35"/>
      <c r="AB26" s="35"/>
      <c r="AC26" s="35"/>
      <c r="AD26" s="35"/>
      <c r="AE26" s="35"/>
      <c r="AF26" s="35"/>
      <c r="AG26" s="35"/>
      <c r="AH26" s="35"/>
      <c r="AI26" s="35"/>
      <c r="AJ26" s="35"/>
    </row>
    <row r="27" spans="1:51" ht="23.25" x14ac:dyDescent="0.35">
      <c r="A27" s="34"/>
      <c r="I27" s="35"/>
      <c r="J27" s="38"/>
      <c r="K27" s="42" t="s">
        <v>211</v>
      </c>
      <c r="L27" s="38"/>
      <c r="M27" s="35"/>
      <c r="N27" s="35"/>
      <c r="O27" s="35"/>
      <c r="P27" s="35"/>
      <c r="Q27" s="35"/>
      <c r="R27" s="35"/>
      <c r="S27" s="35"/>
      <c r="T27" s="35"/>
      <c r="U27" s="35"/>
      <c r="V27" s="35"/>
      <c r="W27" s="35"/>
      <c r="X27" s="35"/>
      <c r="Y27" s="35"/>
      <c r="Z27" s="35"/>
      <c r="AA27" s="35"/>
      <c r="AB27" s="35"/>
      <c r="AC27" s="35"/>
      <c r="AD27" s="35"/>
      <c r="AE27" s="35"/>
      <c r="AF27" s="35"/>
      <c r="AG27" s="35"/>
      <c r="AH27" s="35"/>
      <c r="AI27" s="35"/>
      <c r="AJ27" s="35"/>
      <c r="AY27" s="42" t="s">
        <v>208</v>
      </c>
    </row>
    <row r="28" spans="1:51" x14ac:dyDescent="0.25">
      <c r="A28" s="34"/>
      <c r="B28" s="3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4"/>
      <c r="AU28" s="34"/>
      <c r="AV28" s="34"/>
    </row>
    <row r="29" spans="1:51" x14ac:dyDescent="0.25">
      <c r="A29" s="34"/>
      <c r="B29" s="3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4"/>
      <c r="AU29" s="34"/>
      <c r="AV29" s="34"/>
    </row>
    <row r="30" spans="1:51" x14ac:dyDescent="0.25">
      <c r="A30" s="34"/>
      <c r="B30" s="35"/>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4"/>
      <c r="AU30" s="34"/>
      <c r="AV30" s="34"/>
    </row>
    <row r="31" spans="1:51" x14ac:dyDescent="0.25">
      <c r="A31" s="34"/>
      <c r="D31" s="37" t="s">
        <v>207</v>
      </c>
      <c r="K31" s="35"/>
      <c r="L31" s="35"/>
      <c r="M31" s="35"/>
      <c r="N31" s="35"/>
      <c r="O31" s="35"/>
      <c r="P31" s="35"/>
      <c r="Q31" s="35"/>
      <c r="R31" s="35"/>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4"/>
      <c r="AU31" s="34"/>
      <c r="AV31" s="34"/>
    </row>
    <row r="32" spans="1:51" x14ac:dyDescent="0.25">
      <c r="A32" s="34"/>
      <c r="B32" s="35"/>
      <c r="C32" s="35"/>
      <c r="D32" s="35"/>
      <c r="J32" s="35"/>
      <c r="K32" s="35"/>
      <c r="L32" s="35"/>
      <c r="M32" s="35"/>
      <c r="N32" s="35"/>
      <c r="O32" s="35"/>
      <c r="P32" s="35"/>
      <c r="Q32" s="35"/>
      <c r="R32" s="35"/>
      <c r="S32" s="35"/>
      <c r="T32" s="35"/>
      <c r="U32" s="35"/>
      <c r="V32" s="35"/>
      <c r="W32" s="35"/>
      <c r="X32" s="35"/>
      <c r="Y32" s="35"/>
      <c r="Z32" s="35"/>
      <c r="AA32" s="35"/>
      <c r="AB32" s="35"/>
      <c r="AC32" s="35"/>
      <c r="AD32" s="35"/>
      <c r="AE32" s="35"/>
      <c r="AF32" s="35"/>
      <c r="AG32" s="35"/>
      <c r="AH32" s="35"/>
      <c r="AI32" s="35"/>
      <c r="AJ32" s="35"/>
      <c r="AK32" s="35"/>
      <c r="AL32" s="35"/>
      <c r="AM32" s="35"/>
      <c r="AN32" s="35"/>
      <c r="AO32" s="35"/>
      <c r="AP32" s="35"/>
      <c r="AQ32" s="35"/>
      <c r="AR32" s="35"/>
      <c r="AS32" s="35"/>
      <c r="AT32" s="34"/>
      <c r="AU32" s="34"/>
      <c r="AV32" s="34"/>
    </row>
    <row r="33" spans="1:48" x14ac:dyDescent="0.2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4"/>
      <c r="AU33" s="34"/>
      <c r="AV33" s="34"/>
    </row>
    <row r="34" spans="1:48" ht="34.5" x14ac:dyDescent="0.45">
      <c r="A34" s="34"/>
      <c r="B34" s="35"/>
      <c r="C34" s="35"/>
      <c r="D34" s="35"/>
      <c r="E34" s="35"/>
      <c r="F34" s="35"/>
      <c r="G34" s="35"/>
      <c r="H34" s="35"/>
      <c r="I34" s="35"/>
      <c r="J34" s="35"/>
      <c r="K34" s="39"/>
      <c r="L34" s="35"/>
      <c r="M34" s="35"/>
      <c r="N34" s="35"/>
      <c r="O34" s="35"/>
      <c r="P34" s="35"/>
      <c r="Q34" s="35"/>
      <c r="R34" s="35"/>
      <c r="S34" s="35"/>
      <c r="T34" s="35"/>
      <c r="U34" s="35"/>
      <c r="V34" s="35"/>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4"/>
      <c r="AU34" s="34"/>
      <c r="AV34" s="34"/>
    </row>
    <row r="35" spans="1:48" x14ac:dyDescent="0.25">
      <c r="A35" s="34"/>
      <c r="B35" s="3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4"/>
      <c r="AU35" s="34"/>
      <c r="AV35" s="34"/>
    </row>
    <row r="36" spans="1:48" x14ac:dyDescent="0.25">
      <c r="A36" s="34"/>
      <c r="B36" s="3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4"/>
      <c r="AU36" s="34"/>
      <c r="AV36" s="34"/>
    </row>
    <row r="37" spans="1:48" x14ac:dyDescent="0.25">
      <c r="A37" s="34"/>
      <c r="B37" s="3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4"/>
      <c r="AU37" s="34"/>
      <c r="AV37" s="34"/>
    </row>
    <row r="38" spans="1:48" x14ac:dyDescent="0.25">
      <c r="A38" s="34"/>
      <c r="B38" s="3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R38" s="35"/>
      <c r="AS38" s="35"/>
      <c r="AT38" s="34"/>
      <c r="AU38" s="34"/>
      <c r="AV38" s="34"/>
    </row>
    <row r="39" spans="1:48" x14ac:dyDescent="0.25">
      <c r="A39" s="34"/>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row>
    <row r="40" spans="1:48" x14ac:dyDescent="0.25">
      <c r="A40" s="34"/>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row>
    <row r="41" spans="1:48" x14ac:dyDescent="0.25">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row>
    <row r="42" spans="1:48" x14ac:dyDescent="0.25">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row>
    <row r="43" spans="1:48" x14ac:dyDescent="0.25">
      <c r="A43" s="34"/>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row>
    <row r="44" spans="1:48" x14ac:dyDescent="0.25">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row>
    <row r="45" spans="1:48" x14ac:dyDescent="0.25">
      <c r="A45" s="34"/>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row>
    <row r="46" spans="1:48" x14ac:dyDescent="0.25">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row>
    <row r="47" spans="1:48" x14ac:dyDescent="0.25">
      <c r="A47" s="34"/>
      <c r="B47" s="34"/>
      <c r="C47" s="34"/>
      <c r="D47" s="34"/>
      <c r="E47" s="34"/>
      <c r="F47" s="34"/>
      <c r="G47" s="34"/>
      <c r="H47" s="34"/>
      <c r="I47" s="34"/>
      <c r="J47" s="34"/>
      <c r="K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row>
    <row r="48" spans="1:48" x14ac:dyDescent="0.25">
      <c r="A48" s="34"/>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U48" s="34"/>
      <c r="AV48" s="34"/>
    </row>
    <row r="49" spans="1:52" x14ac:dyDescent="0.25">
      <c r="A49" s="34"/>
      <c r="B49" s="34"/>
      <c r="C49" s="34"/>
      <c r="D49" s="34"/>
      <c r="E49" s="34"/>
      <c r="F49" s="34"/>
      <c r="G49" s="34"/>
      <c r="H49" s="34"/>
      <c r="I49" s="34"/>
      <c r="J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U49" s="34"/>
      <c r="AV49" s="34"/>
    </row>
    <row r="50" spans="1:52" x14ac:dyDescent="0.25">
      <c r="A50" s="34"/>
      <c r="B50" s="34"/>
      <c r="C50" s="34"/>
      <c r="D50" s="34"/>
      <c r="E50" s="34"/>
      <c r="F50" s="34"/>
      <c r="G50" s="34"/>
      <c r="H50" s="34"/>
      <c r="I50" s="34"/>
      <c r="J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Y50" s="34"/>
      <c r="AZ50" s="34"/>
    </row>
    <row r="51" spans="1:52" ht="23.25" x14ac:dyDescent="0.35">
      <c r="A51" s="34"/>
      <c r="B51" s="34" t="s">
        <v>217</v>
      </c>
      <c r="C51" s="34"/>
      <c r="D51" s="34"/>
      <c r="E51" s="34"/>
      <c r="F51" s="34"/>
      <c r="G51" s="34"/>
      <c r="H51" s="34"/>
      <c r="I51" s="34"/>
      <c r="J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X51" s="42" t="s">
        <v>209</v>
      </c>
    </row>
    <row r="52" spans="1:52" ht="23.25" x14ac:dyDescent="0.35">
      <c r="A52" s="34"/>
      <c r="B52" s="88" t="s">
        <v>210</v>
      </c>
      <c r="C52" s="88"/>
      <c r="D52" s="34"/>
      <c r="E52" s="34"/>
      <c r="F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row>
    <row r="53" spans="1:52" x14ac:dyDescent="0.25">
      <c r="A53" s="34"/>
      <c r="B53" s="34"/>
      <c r="C53" s="34"/>
      <c r="D53" s="34"/>
      <c r="E53" s="34"/>
      <c r="F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row>
    <row r="54" spans="1:52" x14ac:dyDescent="0.25">
      <c r="A54" s="34"/>
      <c r="B54" s="34"/>
      <c r="C54" s="34"/>
      <c r="D54" s="34"/>
      <c r="E54" s="34"/>
      <c r="F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row>
    <row r="55" spans="1:52" x14ac:dyDescent="0.25">
      <c r="A55" s="34"/>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row>
    <row r="86" spans="54:54" x14ac:dyDescent="0.25">
      <c r="BB86" t="str">
        <f>IFERROR(VLOOKUP(B32,Sheet6!D3:E54,2,0),"None")</f>
        <v>None</v>
      </c>
    </row>
    <row r="119" spans="4:4" ht="34.5" x14ac:dyDescent="0.45">
      <c r="D119" s="41" t="e">
        <f>VLOOKUP(AR16,'Pivot(ratings)'!I2:K6,3,1)</f>
        <v>#N/A</v>
      </c>
    </row>
    <row r="181" spans="56:56" x14ac:dyDescent="0.25">
      <c r="BD181" t="str">
        <f>IFERROR(VLOOKUP(C2,'[1]PL Wise - ECPPI &amp; Here next'!G:J,2,0),"None")</f>
        <v>None</v>
      </c>
    </row>
  </sheetData>
  <mergeCells count="9">
    <mergeCell ref="B52:C52"/>
    <mergeCell ref="A8:C8"/>
    <mergeCell ref="B9:D9"/>
    <mergeCell ref="O24:T26"/>
    <mergeCell ref="AR15:AT15"/>
    <mergeCell ref="AR16:AT16"/>
    <mergeCell ref="O9:Q9"/>
    <mergeCell ref="E10:F10"/>
    <mergeCell ref="J9:L9"/>
  </mergeCells>
  <conditionalFormatting sqref="O24">
    <cfRule type="expression" dxfId="31" priority="12">
      <formula>$O$24="Promoter"</formula>
    </cfRule>
    <cfRule type="expression" dxfId="30" priority="13">
      <formula>$O$24="Passive"</formula>
    </cfRule>
    <cfRule type="expression" dxfId="29" priority="14">
      <formula>$O$24="Detractor"</formula>
    </cfRule>
    <cfRule type="expression" dxfId="28" priority="15">
      <formula>"IF($D$30=""Detractor"")"</formula>
    </cfRule>
    <cfRule type="colorScale" priority="16">
      <colorScale>
        <cfvo type="min"/>
        <cfvo type="max"/>
        <color rgb="FFFF7128"/>
        <color rgb="FFFFEF9C"/>
      </colorScale>
    </cfRule>
  </conditionalFormatting>
  <conditionalFormatting sqref="K34">
    <cfRule type="cellIs" dxfId="27" priority="3" operator="equal">
      <formula>"J"</formula>
    </cfRule>
    <cfRule type="cellIs" dxfId="26" priority="4" operator="equal">
      <formula>"L"</formula>
    </cfRule>
  </conditionalFormatting>
  <conditionalFormatting sqref="D119">
    <cfRule type="cellIs" dxfId="25" priority="1" operator="equal">
      <formula>"J"</formula>
    </cfRule>
    <cfRule type="cellIs" dxfId="24" priority="2" operator="equal">
      <formula>"L"</formula>
    </cfRule>
  </conditionalFormatting>
  <dataValidations count="1">
    <dataValidation type="list" allowBlank="1" showInputMessage="1" showErrorMessage="1" sqref="B32:D32" xr:uid="{CBEA9550-7CA5-4F28-B286-98495DC5D243}">
      <formula1>#REF!</formula1>
    </dataValidation>
  </dataValidations>
  <pageMargins left="0.7" right="0.7" top="0.75" bottom="0.75" header="0.3" footer="0.3"/>
  <pageSetup orientation="portrait" horizontalDpi="200" verticalDpi="2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4071A63D-B047-45F2-BF43-A92B07C32EE8}">
          <x14:formula1>
            <xm:f>concated_ques!$B$3:$B$53</xm:f>
          </x14:formula1>
          <xm:sqref>J9</xm:sqref>
        </x14:dataValidation>
        <x14:dataValidation type="list" allowBlank="1" showInputMessage="1" showErrorMessage="1" xr:uid="{988E4FD2-E1B0-4449-90D5-D96E32C5625B}">
          <x14:formula1>
            <xm:f>'Pivot(ratings)'!$M$2:$M$4</xm:f>
          </x14:formula1>
          <xm:sqref>O9:Q9</xm:sqref>
        </x14:dataValidation>
        <x14:dataValidation type="list" allowBlank="1" showInputMessage="1" showErrorMessage="1" xr:uid="{57E25C06-B56B-4226-9B68-84F355C6B544}">
          <x14:formula1>
            <xm:f>ques_feedback!$B$3:$F$3</xm:f>
          </x14:formula1>
          <xm:sqref>B9</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A6736-4523-4E78-BBAD-C79B4D17CE96}">
  <sheetPr codeName="Sheet2"/>
  <dimension ref="A1:AR321"/>
  <sheetViews>
    <sheetView zoomScale="85" zoomScaleNormal="85" workbookViewId="0">
      <pane ySplit="1" topLeftCell="A24" activePane="bottomLeft" state="frozen"/>
      <selection pane="bottomLeft" activeCell="M45" sqref="M45"/>
    </sheetView>
  </sheetViews>
  <sheetFormatPr defaultColWidth="8.7109375" defaultRowHeight="15" x14ac:dyDescent="0.25"/>
  <cols>
    <col min="1" max="1" width="15.85546875" bestFit="1" customWidth="1"/>
    <col min="2" max="2" width="23.42578125" bestFit="1" customWidth="1"/>
    <col min="3" max="3" width="14.28515625" customWidth="1"/>
    <col min="4" max="4" width="20.7109375" style="2" bestFit="1" customWidth="1"/>
    <col min="5" max="5" width="41.140625" style="2" hidden="1" customWidth="1"/>
    <col min="6" max="6" width="12.7109375" style="2" hidden="1" customWidth="1"/>
    <col min="7" max="7" width="29.28515625" style="2" hidden="1" customWidth="1"/>
    <col min="8" max="8" width="22.42578125" style="1" bestFit="1" customWidth="1"/>
    <col min="9" max="9" width="15.42578125" bestFit="1" customWidth="1"/>
    <col min="10" max="10" width="28.42578125" customWidth="1"/>
    <col min="11" max="11" width="28.28515625" customWidth="1"/>
    <col min="12" max="12" width="18.42578125" customWidth="1"/>
    <col min="13" max="13" width="20.85546875" customWidth="1"/>
    <col min="14" max="14" width="24.42578125" customWidth="1"/>
    <col min="32" max="32" width="26.42578125" bestFit="1" customWidth="1"/>
    <col min="33" max="33" width="21.140625" customWidth="1"/>
    <col min="35" max="35" width="36.140625" bestFit="1" customWidth="1"/>
    <col min="36" max="36" width="29.7109375" bestFit="1" customWidth="1"/>
    <col min="37" max="37" width="17.140625" customWidth="1"/>
  </cols>
  <sheetData>
    <row r="1" spans="1:44" ht="29.65" customHeight="1" x14ac:dyDescent="0.25">
      <c r="A1" s="77" t="s">
        <v>132</v>
      </c>
      <c r="B1" s="78" t="s">
        <v>131</v>
      </c>
      <c r="C1" s="78" t="s">
        <v>130</v>
      </c>
      <c r="D1" s="78" t="s">
        <v>129</v>
      </c>
      <c r="E1" s="78" t="s">
        <v>201</v>
      </c>
      <c r="F1" s="78" t="s">
        <v>128</v>
      </c>
      <c r="G1" s="79" t="s">
        <v>127</v>
      </c>
      <c r="H1" s="50" t="s">
        <v>126</v>
      </c>
      <c r="I1" s="51" t="s">
        <v>125</v>
      </c>
      <c r="J1" s="51" t="s">
        <v>124</v>
      </c>
      <c r="K1" s="51" t="s">
        <v>123</v>
      </c>
      <c r="L1" s="52" t="s">
        <v>122</v>
      </c>
      <c r="M1" s="62" t="s">
        <v>121</v>
      </c>
      <c r="N1" s="62" t="s">
        <v>120</v>
      </c>
    </row>
    <row r="2" spans="1:44" ht="30" x14ac:dyDescent="0.25">
      <c r="A2" s="67" t="s">
        <v>4</v>
      </c>
      <c r="B2" s="26" t="s">
        <v>4</v>
      </c>
      <c r="C2" s="26" t="s">
        <v>11</v>
      </c>
      <c r="D2" s="2" t="s">
        <v>119</v>
      </c>
      <c r="E2" s="5" t="str">
        <f>CONCATENATE(Table1[[#This Row],[Program]]," ", Table1[[#This Row],[Audience Name]])</f>
        <v>ALC Michael Kennedy</v>
      </c>
      <c r="F2" s="5"/>
      <c r="G2" s="80" t="s">
        <v>118</v>
      </c>
      <c r="H2" s="72" t="s">
        <v>220</v>
      </c>
      <c r="I2" s="73" t="s">
        <v>220</v>
      </c>
      <c r="J2" s="73" t="s">
        <v>101</v>
      </c>
      <c r="K2" s="73" t="s">
        <v>105</v>
      </c>
      <c r="L2" s="74" t="s">
        <v>101</v>
      </c>
      <c r="M2" s="70">
        <v>1</v>
      </c>
      <c r="N2" s="70" t="s">
        <v>104</v>
      </c>
      <c r="AM2" t="s">
        <v>117</v>
      </c>
    </row>
    <row r="3" spans="1:44" x14ac:dyDescent="0.25">
      <c r="A3" s="67" t="s">
        <v>4</v>
      </c>
      <c r="B3" s="26" t="s">
        <v>4</v>
      </c>
      <c r="C3" s="26" t="s">
        <v>11</v>
      </c>
      <c r="D3" s="2" t="s">
        <v>115</v>
      </c>
      <c r="E3" s="5" t="str">
        <f>CONCATENATE(Table1[[#This Row],[Program]]," ", Table1[[#This Row],[Audience Name]])</f>
        <v>ALC Alexander Dominique</v>
      </c>
      <c r="F3" s="5"/>
      <c r="G3" s="80" t="s">
        <v>114</v>
      </c>
      <c r="H3" s="72" t="s">
        <v>105</v>
      </c>
      <c r="I3" s="73"/>
      <c r="J3" s="73"/>
      <c r="K3" s="73"/>
      <c r="L3" s="74"/>
      <c r="M3" s="70">
        <v>10</v>
      </c>
      <c r="N3" s="70" t="s">
        <v>108</v>
      </c>
      <c r="AM3" t="s">
        <v>113</v>
      </c>
      <c r="AP3">
        <v>1</v>
      </c>
      <c r="AR3" t="s">
        <v>112</v>
      </c>
    </row>
    <row r="4" spans="1:44" ht="30" x14ac:dyDescent="0.25">
      <c r="A4" s="67" t="s">
        <v>4</v>
      </c>
      <c r="B4" s="26" t="s">
        <v>33</v>
      </c>
      <c r="C4" s="26" t="s">
        <v>11</v>
      </c>
      <c r="D4" s="2" t="s">
        <v>111</v>
      </c>
      <c r="E4" s="5" t="str">
        <f>CONCATENATE(Table1[[#This Row],[Program]]," ", Table1[[#This Row],[Audience Name]])</f>
        <v>Localization Girish Vengaserry</v>
      </c>
      <c r="F4" s="5"/>
      <c r="G4" s="80" t="s">
        <v>110</v>
      </c>
      <c r="H4" s="72" t="s">
        <v>113</v>
      </c>
      <c r="I4" s="73"/>
      <c r="J4" s="73"/>
      <c r="K4" s="73" t="s">
        <v>101</v>
      </c>
      <c r="L4" s="74" t="s">
        <v>220</v>
      </c>
      <c r="M4" s="70">
        <v>3</v>
      </c>
      <c r="N4" s="70" t="s">
        <v>116</v>
      </c>
      <c r="AF4" s="10" t="s">
        <v>143</v>
      </c>
      <c r="AG4" t="s">
        <v>126</v>
      </c>
      <c r="AH4" t="s">
        <v>137</v>
      </c>
      <c r="AI4" t="s">
        <v>124</v>
      </c>
      <c r="AJ4" t="s">
        <v>123</v>
      </c>
      <c r="AK4" t="s">
        <v>122</v>
      </c>
      <c r="AM4" t="s">
        <v>220</v>
      </c>
      <c r="AP4">
        <v>2</v>
      </c>
      <c r="AR4" t="s">
        <v>108</v>
      </c>
    </row>
    <row r="5" spans="1:44" x14ac:dyDescent="0.25">
      <c r="A5" s="67" t="s">
        <v>4</v>
      </c>
      <c r="B5" s="26" t="s">
        <v>33</v>
      </c>
      <c r="C5" s="26" t="s">
        <v>11</v>
      </c>
      <c r="D5" s="2" t="s">
        <v>107</v>
      </c>
      <c r="E5" s="5" t="str">
        <f>CONCATENATE(Table1[[#This Row],[Program]]," ", Table1[[#This Row],[Audience Name]])</f>
        <v>Localization Ravindar Dayachand</v>
      </c>
      <c r="F5" s="5"/>
      <c r="G5" s="80" t="s">
        <v>106</v>
      </c>
      <c r="H5" s="72" t="s">
        <v>117</v>
      </c>
      <c r="I5" s="73"/>
      <c r="J5" s="73" t="s">
        <v>220</v>
      </c>
      <c r="K5" s="73" t="s">
        <v>220</v>
      </c>
      <c r="L5" s="74"/>
      <c r="M5" s="70">
        <v>4</v>
      </c>
      <c r="N5" s="70" t="s">
        <v>104</v>
      </c>
      <c r="AF5" t="s">
        <v>117</v>
      </c>
      <c r="AG5">
        <f>COUNTIF($H$2:$H$1000,$AF$5)</f>
        <v>2</v>
      </c>
      <c r="AH5">
        <f>COUNTIF(I2:$I$1000,$AF$5)</f>
        <v>1</v>
      </c>
      <c r="AI5">
        <f>COUNTIF($J$2:$J$1000,$AF$5)</f>
        <v>0</v>
      </c>
      <c r="AJ5">
        <f>COUNTIF(K2:$K$1000,$AF$5)</f>
        <v>0</v>
      </c>
      <c r="AK5">
        <f>COUNTIF($L$2:$L$1000,$AF$5)</f>
        <v>0</v>
      </c>
      <c r="AM5" t="s">
        <v>105</v>
      </c>
      <c r="AP5">
        <v>3</v>
      </c>
      <c r="AR5" t="s">
        <v>104</v>
      </c>
    </row>
    <row r="6" spans="1:44" ht="30" x14ac:dyDescent="0.25">
      <c r="A6" s="67" t="s">
        <v>4</v>
      </c>
      <c r="B6" s="26" t="s">
        <v>4</v>
      </c>
      <c r="C6" s="26" t="s">
        <v>11</v>
      </c>
      <c r="D6" s="2" t="s">
        <v>103</v>
      </c>
      <c r="E6" s="5" t="str">
        <f>CONCATENATE(Table1[[#This Row],[Program]]," ", Table1[[#This Row],[Audience Name]])</f>
        <v>ALC Johan Beerens</v>
      </c>
      <c r="F6" s="5"/>
      <c r="G6" s="80" t="s">
        <v>102</v>
      </c>
      <c r="H6" s="72" t="s">
        <v>220</v>
      </c>
      <c r="I6" s="73"/>
      <c r="J6" s="73"/>
      <c r="K6" s="73" t="s">
        <v>105</v>
      </c>
      <c r="L6" s="74" t="s">
        <v>101</v>
      </c>
      <c r="M6" s="70">
        <v>6</v>
      </c>
      <c r="N6" s="70" t="s">
        <v>112</v>
      </c>
      <c r="AF6" t="s">
        <v>113</v>
      </c>
      <c r="AG6">
        <f>COUNTIF(H2:$H$1000,$AF$6)</f>
        <v>4</v>
      </c>
      <c r="AH6">
        <f>COUNTIF(I2:$I$1000,$AF$6)</f>
        <v>1</v>
      </c>
      <c r="AI6">
        <f>COUNTIF($J$2:$J$1000,$AF$6)</f>
        <v>0</v>
      </c>
      <c r="AJ6">
        <f>COUNTIF($K$2:$K$1000,$AF$6)</f>
        <v>0</v>
      </c>
      <c r="AK6">
        <f>COUNTIF($L$2:$L$1000,$AF$6)</f>
        <v>0</v>
      </c>
      <c r="AM6" t="s">
        <v>101</v>
      </c>
      <c r="AP6">
        <v>4</v>
      </c>
      <c r="AR6" t="s">
        <v>100</v>
      </c>
    </row>
    <row r="7" spans="1:44" x14ac:dyDescent="0.25">
      <c r="A7" s="67" t="s">
        <v>4</v>
      </c>
      <c r="B7" s="26" t="s">
        <v>4</v>
      </c>
      <c r="C7" s="26" t="s">
        <v>11</v>
      </c>
      <c r="D7" s="2" t="s">
        <v>99</v>
      </c>
      <c r="E7" s="5" t="str">
        <f>CONCATENATE(Table1[[#This Row],[Program]]," ", Table1[[#This Row],[Audience Name]])</f>
        <v>ALC Nitin Kare</v>
      </c>
      <c r="F7" s="5"/>
      <c r="G7" s="80" t="s">
        <v>98</v>
      </c>
      <c r="H7" s="72" t="s">
        <v>113</v>
      </c>
      <c r="I7" s="73"/>
      <c r="J7" s="73" t="s">
        <v>105</v>
      </c>
      <c r="K7" s="73"/>
      <c r="L7" s="74"/>
      <c r="M7" s="70">
        <v>7</v>
      </c>
      <c r="N7" s="70" t="s">
        <v>108</v>
      </c>
      <c r="AF7" s="11" t="s">
        <v>220</v>
      </c>
      <c r="AG7">
        <f>COUNTIF(H2:$H$1000,$AF$7)</f>
        <v>6</v>
      </c>
      <c r="AH7">
        <f>COUNTIF(I2:$I$1000,$AF$7)</f>
        <v>3</v>
      </c>
      <c r="AI7">
        <f>COUNTIF($J$2:$J$1000,$AF$7)</f>
        <v>2</v>
      </c>
      <c r="AJ7">
        <f>COUNTIF($K$2:$K$1000,$AF$7)</f>
        <v>6</v>
      </c>
      <c r="AK7">
        <f>COUNTIF($L$2:$L$1000,$AF$7)</f>
        <v>1</v>
      </c>
      <c r="AP7">
        <v>5</v>
      </c>
      <c r="AR7" t="s">
        <v>116</v>
      </c>
    </row>
    <row r="8" spans="1:44" x14ac:dyDescent="0.25">
      <c r="A8" s="67" t="s">
        <v>4</v>
      </c>
      <c r="B8" s="26" t="s">
        <v>4</v>
      </c>
      <c r="C8" s="26" t="s">
        <v>11</v>
      </c>
      <c r="D8" s="2" t="s">
        <v>97</v>
      </c>
      <c r="E8" s="5" t="str">
        <f>CONCATENATE(Table1[[#This Row],[Program]]," ", Table1[[#This Row],[Audience Name]])</f>
        <v>ALC Nicholas Hatcher</v>
      </c>
      <c r="F8" s="5"/>
      <c r="G8" s="80" t="s">
        <v>96</v>
      </c>
      <c r="H8" s="72" t="s">
        <v>113</v>
      </c>
      <c r="I8" s="73"/>
      <c r="J8" s="73"/>
      <c r="K8" s="73" t="s">
        <v>220</v>
      </c>
      <c r="L8" s="74"/>
      <c r="M8" s="70">
        <v>7</v>
      </c>
      <c r="N8" s="70" t="s">
        <v>112</v>
      </c>
      <c r="AF8" t="s">
        <v>105</v>
      </c>
      <c r="AG8">
        <f>COUNTIF(H2:$H$1000,$AF$8)</f>
        <v>1</v>
      </c>
      <c r="AH8">
        <f>COUNTIF(I2:$I$1000,$AF$8)</f>
        <v>1</v>
      </c>
      <c r="AI8">
        <f>COUNTIF($J$2:$J$1000,$AF$8)</f>
        <v>7</v>
      </c>
      <c r="AJ8">
        <f>COUNTIF($K$2:$K$1000,$AF$8)</f>
        <v>6</v>
      </c>
      <c r="AK8">
        <f>COUNTIF($L$2:$L$1000,$AF$8)</f>
        <v>5</v>
      </c>
      <c r="AP8">
        <v>6</v>
      </c>
    </row>
    <row r="9" spans="1:44" ht="30" x14ac:dyDescent="0.25">
      <c r="A9" s="67" t="s">
        <v>4</v>
      </c>
      <c r="B9" s="26" t="s">
        <v>4</v>
      </c>
      <c r="C9" s="26" t="s">
        <v>11</v>
      </c>
      <c r="D9" s="2" t="s">
        <v>95</v>
      </c>
      <c r="E9" s="5" t="str">
        <f>CONCATENATE(Table1[[#This Row],[Program]]," ", Table1[[#This Row],[Audience Name]])</f>
        <v>ALC Syed Fahim Akhtar</v>
      </c>
      <c r="F9" s="5"/>
      <c r="G9" s="80" t="s">
        <v>94</v>
      </c>
      <c r="H9" s="72"/>
      <c r="I9" s="73" t="s">
        <v>220</v>
      </c>
      <c r="J9" s="73" t="s">
        <v>105</v>
      </c>
      <c r="K9" s="73" t="s">
        <v>101</v>
      </c>
      <c r="L9" s="74" t="s">
        <v>105</v>
      </c>
      <c r="M9" s="70">
        <v>7</v>
      </c>
      <c r="N9" s="70" t="s">
        <v>100</v>
      </c>
      <c r="AF9" t="s">
        <v>101</v>
      </c>
      <c r="AG9">
        <f>COUNTIF(H4:$H$1000,$AF$9)</f>
        <v>1</v>
      </c>
      <c r="AH9">
        <f>COUNTIF(I2:$I$1000,$AF$9)</f>
        <v>1</v>
      </c>
      <c r="AI9">
        <f>COUNTIF($J$2:$J$1000,$AF$9)</f>
        <v>5</v>
      </c>
      <c r="AJ9">
        <f>COUNTIF($K$2:$K$1000,$AF$9)</f>
        <v>8</v>
      </c>
      <c r="AK9">
        <f>COUNTIF($L$2:$L$1000,$AF$9)</f>
        <v>7</v>
      </c>
      <c r="AP9">
        <v>7</v>
      </c>
    </row>
    <row r="10" spans="1:44" x14ac:dyDescent="0.25">
      <c r="A10" s="67" t="s">
        <v>4</v>
      </c>
      <c r="B10" s="26" t="s">
        <v>4</v>
      </c>
      <c r="C10" s="26" t="s">
        <v>11</v>
      </c>
      <c r="D10" s="2" t="s">
        <v>93</v>
      </c>
      <c r="E10" s="5" t="str">
        <f>CONCATENATE(Table1[[#This Row],[Program]]," ", Table1[[#This Row],[Audience Name]])</f>
        <v>ALC Riya Matai</v>
      </c>
      <c r="F10" s="5"/>
      <c r="G10" s="80" t="s">
        <v>92</v>
      </c>
      <c r="H10" s="72" t="s">
        <v>117</v>
      </c>
      <c r="I10" s="73"/>
      <c r="J10" s="73" t="s">
        <v>220</v>
      </c>
      <c r="K10" s="73"/>
      <c r="L10" s="74"/>
      <c r="M10" s="70">
        <v>3</v>
      </c>
      <c r="N10" s="70" t="s">
        <v>112</v>
      </c>
      <c r="AP10">
        <v>8</v>
      </c>
    </row>
    <row r="11" spans="1:44" x14ac:dyDescent="0.25">
      <c r="A11" s="67" t="s">
        <v>4</v>
      </c>
      <c r="B11" s="26" t="s">
        <v>36</v>
      </c>
      <c r="C11" s="26" t="s">
        <v>11</v>
      </c>
      <c r="D11" s="2" t="s">
        <v>91</v>
      </c>
      <c r="E11" s="5" t="str">
        <f>CONCATENATE(Table1[[#This Row],[Program]]," ", Table1[[#This Row],[Audience Name]])</f>
        <v>Here Lanes Devendra Samant</v>
      </c>
      <c r="F11" s="5"/>
      <c r="G11" s="80" t="s">
        <v>90</v>
      </c>
      <c r="H11" s="72"/>
      <c r="I11" s="73"/>
      <c r="J11" s="73" t="s">
        <v>101</v>
      </c>
      <c r="K11" s="73"/>
      <c r="L11" s="74"/>
      <c r="M11" s="70">
        <v>3</v>
      </c>
      <c r="N11" s="70" t="s">
        <v>116</v>
      </c>
      <c r="AP11">
        <v>9</v>
      </c>
    </row>
    <row r="12" spans="1:44" x14ac:dyDescent="0.25">
      <c r="A12" s="67" t="s">
        <v>4</v>
      </c>
      <c r="B12" s="26" t="s">
        <v>75</v>
      </c>
      <c r="C12" s="26" t="s">
        <v>11</v>
      </c>
      <c r="D12" s="2" t="s">
        <v>89</v>
      </c>
      <c r="E12" s="5" t="str">
        <f>CONCATENATE(Table1[[#This Row],[Program]]," ", Table1[[#This Row],[Audience Name]])</f>
        <v>Localization &amp; HDLM Lanes Matt Melvin</v>
      </c>
      <c r="F12" s="5"/>
      <c r="G12" s="80" t="s">
        <v>88</v>
      </c>
      <c r="H12" s="72"/>
      <c r="I12" s="73"/>
      <c r="J12" s="73"/>
      <c r="K12" s="73" t="s">
        <v>220</v>
      </c>
      <c r="L12" s="74"/>
      <c r="M12" s="70">
        <v>4</v>
      </c>
      <c r="N12" s="70" t="s">
        <v>116</v>
      </c>
      <c r="AP12">
        <v>10</v>
      </c>
    </row>
    <row r="13" spans="1:44" x14ac:dyDescent="0.25">
      <c r="A13" s="67" t="s">
        <v>4</v>
      </c>
      <c r="B13" s="26" t="s">
        <v>14</v>
      </c>
      <c r="C13" s="26" t="s">
        <v>11</v>
      </c>
      <c r="D13" s="2" t="s">
        <v>87</v>
      </c>
      <c r="E13" s="5" t="str">
        <f>CONCATENATE(Table1[[#This Row],[Program]]," ", Table1[[#This Row],[Audience Name]])</f>
        <v>HDLM Lanes Andrew Wilson</v>
      </c>
      <c r="F13" s="5"/>
      <c r="G13" s="80" t="s">
        <v>86</v>
      </c>
      <c r="H13" s="72"/>
      <c r="I13" s="73"/>
      <c r="J13" s="73" t="s">
        <v>105</v>
      </c>
      <c r="K13" s="73" t="s">
        <v>105</v>
      </c>
      <c r="L13" s="74" t="s">
        <v>101</v>
      </c>
      <c r="M13" s="70">
        <v>3</v>
      </c>
      <c r="N13" s="70" t="s">
        <v>112</v>
      </c>
    </row>
    <row r="14" spans="1:44" x14ac:dyDescent="0.25">
      <c r="A14" s="67" t="s">
        <v>4</v>
      </c>
      <c r="B14" s="26" t="s">
        <v>4</v>
      </c>
      <c r="C14" s="26" t="s">
        <v>11</v>
      </c>
      <c r="D14" s="2" t="s">
        <v>85</v>
      </c>
      <c r="E14" s="5" t="str">
        <f>CONCATENATE(Table1[[#This Row],[Program]]," ", Table1[[#This Row],[Audience Name]])</f>
        <v>ALC Oliver Monson</v>
      </c>
      <c r="F14" s="5"/>
      <c r="G14" s="80" t="s">
        <v>84</v>
      </c>
      <c r="H14" s="72"/>
      <c r="I14" s="73"/>
      <c r="J14" s="73"/>
      <c r="K14" s="73"/>
      <c r="L14" s="74"/>
      <c r="M14" s="70">
        <v>3</v>
      </c>
      <c r="N14" s="70" t="s">
        <v>100</v>
      </c>
    </row>
    <row r="15" spans="1:44" x14ac:dyDescent="0.25">
      <c r="A15" s="67" t="s">
        <v>4</v>
      </c>
      <c r="B15" s="26" t="s">
        <v>14</v>
      </c>
      <c r="C15" s="26" t="s">
        <v>11</v>
      </c>
      <c r="D15" s="2" t="s">
        <v>83</v>
      </c>
      <c r="E15" s="5" t="str">
        <f>CONCATENATE(Table1[[#This Row],[Program]]," ", Table1[[#This Row],[Audience Name]])</f>
        <v>HDLM Lanes Justin Link</v>
      </c>
      <c r="F15" s="5"/>
      <c r="G15" s="80" t="s">
        <v>82</v>
      </c>
      <c r="H15" s="72"/>
      <c r="I15" s="73"/>
      <c r="J15" s="73"/>
      <c r="K15" s="73" t="s">
        <v>220</v>
      </c>
      <c r="L15" s="74"/>
      <c r="M15" s="70">
        <v>5</v>
      </c>
      <c r="N15" s="70" t="s">
        <v>108</v>
      </c>
    </row>
    <row r="16" spans="1:44" x14ac:dyDescent="0.25">
      <c r="A16" s="67" t="s">
        <v>4</v>
      </c>
      <c r="B16" s="26" t="s">
        <v>14</v>
      </c>
      <c r="C16" s="26" t="s">
        <v>11</v>
      </c>
      <c r="D16" s="2" t="s">
        <v>81</v>
      </c>
      <c r="E16" s="5" t="str">
        <f>CONCATENATE(Table1[[#This Row],[Program]]," ", Table1[[#This Row],[Audience Name]])</f>
        <v>HDLM Lanes Kristin Thompson</v>
      </c>
      <c r="F16" s="5"/>
      <c r="G16" s="80" t="s">
        <v>80</v>
      </c>
      <c r="H16" s="72"/>
      <c r="I16" s="73"/>
      <c r="J16" s="73" t="s">
        <v>101</v>
      </c>
      <c r="K16" s="73" t="s">
        <v>101</v>
      </c>
      <c r="L16" s="74"/>
      <c r="M16" s="70"/>
      <c r="N16" s="70" t="s">
        <v>100</v>
      </c>
    </row>
    <row r="17" spans="1:14" x14ac:dyDescent="0.25">
      <c r="A17" s="67" t="s">
        <v>4</v>
      </c>
      <c r="B17" s="26" t="s">
        <v>14</v>
      </c>
      <c r="C17" s="26" t="s">
        <v>11</v>
      </c>
      <c r="D17" s="2" t="s">
        <v>79</v>
      </c>
      <c r="E17" s="5" t="str">
        <f>CONCATENATE(Table1[[#This Row],[Program]]," ", Table1[[#This Row],[Audience Name]])</f>
        <v>HDLM Lanes Michael Deuerling</v>
      </c>
      <c r="F17" s="5"/>
      <c r="G17" s="80" t="s">
        <v>78</v>
      </c>
      <c r="H17" s="72"/>
      <c r="I17" s="73"/>
      <c r="J17" s="73"/>
      <c r="K17" s="73"/>
      <c r="L17" s="74"/>
      <c r="M17" s="70">
        <v>4</v>
      </c>
      <c r="N17" s="70" t="s">
        <v>112</v>
      </c>
    </row>
    <row r="18" spans="1:14" ht="30" x14ac:dyDescent="0.25">
      <c r="A18" s="67" t="s">
        <v>4</v>
      </c>
      <c r="B18" s="26" t="s">
        <v>14</v>
      </c>
      <c r="C18" s="26" t="s">
        <v>11</v>
      </c>
      <c r="D18" s="2" t="s">
        <v>77</v>
      </c>
      <c r="E18" s="5" t="str">
        <f>CONCATENATE(Table1[[#This Row],[Program]]," ", Table1[[#This Row],[Audience Name]])</f>
        <v>HDLM Lanes Jeremy Young</v>
      </c>
      <c r="F18" s="5"/>
      <c r="G18" s="81" t="s">
        <v>76</v>
      </c>
      <c r="H18" s="72" t="s">
        <v>220</v>
      </c>
      <c r="I18" s="73"/>
      <c r="J18" s="73" t="s">
        <v>105</v>
      </c>
      <c r="K18" s="73"/>
      <c r="L18" s="74"/>
      <c r="M18" s="70"/>
      <c r="N18" s="70" t="s">
        <v>100</v>
      </c>
    </row>
    <row r="19" spans="1:14" x14ac:dyDescent="0.25">
      <c r="A19" s="67" t="s">
        <v>4</v>
      </c>
      <c r="B19" s="26" t="s">
        <v>75</v>
      </c>
      <c r="C19" s="26" t="s">
        <v>11</v>
      </c>
      <c r="D19" s="2" t="s">
        <v>74</v>
      </c>
      <c r="E19" s="5" t="str">
        <f>CONCATENATE(Table1[[#This Row],[Program]]," ", Table1[[#This Row],[Audience Name]])</f>
        <v>Localization &amp; HDLM Lanes Phillip Bernard</v>
      </c>
      <c r="F19" s="5"/>
      <c r="G19" s="80" t="s">
        <v>73</v>
      </c>
      <c r="H19" s="72"/>
      <c r="I19" s="73"/>
      <c r="J19" s="73"/>
      <c r="K19" s="73" t="s">
        <v>101</v>
      </c>
      <c r="L19" s="74" t="s">
        <v>105</v>
      </c>
      <c r="M19" s="70">
        <v>3</v>
      </c>
      <c r="N19" s="70" t="s">
        <v>116</v>
      </c>
    </row>
    <row r="20" spans="1:14" x14ac:dyDescent="0.25">
      <c r="A20" s="67" t="s">
        <v>4</v>
      </c>
      <c r="B20" s="26" t="s">
        <v>14</v>
      </c>
      <c r="C20" s="26" t="s">
        <v>11</v>
      </c>
      <c r="D20" s="2" t="s">
        <v>72</v>
      </c>
      <c r="E20" s="5" t="str">
        <f>CONCATENATE(Table1[[#This Row],[Program]]," ", Table1[[#This Row],[Audience Name]])</f>
        <v>HDLM Lanes Olivier Ricordel</v>
      </c>
      <c r="F20" s="5"/>
      <c r="G20" s="80" t="s">
        <v>71</v>
      </c>
      <c r="H20" s="72"/>
      <c r="I20" s="73"/>
      <c r="J20" s="73"/>
      <c r="K20" s="73"/>
      <c r="L20" s="74"/>
      <c r="M20" s="70">
        <v>6</v>
      </c>
      <c r="N20" s="70" t="s">
        <v>104</v>
      </c>
    </row>
    <row r="21" spans="1:14" x14ac:dyDescent="0.25">
      <c r="A21" s="67" t="s">
        <v>4</v>
      </c>
      <c r="B21" s="26" t="s">
        <v>14</v>
      </c>
      <c r="C21" s="26" t="s">
        <v>11</v>
      </c>
      <c r="D21" s="2" t="s">
        <v>70</v>
      </c>
      <c r="E21" s="5" t="str">
        <f>CONCATENATE(Table1[[#This Row],[Program]]," ", Table1[[#This Row],[Audience Name]])</f>
        <v>HDLM Lanes Raymond O'Mara</v>
      </c>
      <c r="F21" s="5"/>
      <c r="G21" s="80" t="s">
        <v>69</v>
      </c>
      <c r="H21" s="72"/>
      <c r="I21" s="73"/>
      <c r="J21" s="73"/>
      <c r="K21" s="73"/>
      <c r="L21" s="74"/>
      <c r="M21" s="70"/>
      <c r="N21" s="70" t="s">
        <v>108</v>
      </c>
    </row>
    <row r="22" spans="1:14" x14ac:dyDescent="0.25">
      <c r="A22" s="67" t="s">
        <v>4</v>
      </c>
      <c r="B22" s="26" t="s">
        <v>4</v>
      </c>
      <c r="C22" s="26" t="s">
        <v>11</v>
      </c>
      <c r="D22" s="2" t="s">
        <v>68</v>
      </c>
      <c r="E22" s="5" t="str">
        <f>CONCATENATE(Table1[[#This Row],[Program]]," ", Table1[[#This Row],[Audience Name]])</f>
        <v>ALC Sheila Nedelcu</v>
      </c>
      <c r="F22" s="5"/>
      <c r="G22" s="80" t="s">
        <v>67</v>
      </c>
      <c r="H22" s="72"/>
      <c r="I22" s="73"/>
      <c r="J22" s="73"/>
      <c r="K22" s="73"/>
      <c r="L22" s="74"/>
      <c r="M22" s="70">
        <v>6</v>
      </c>
      <c r="N22" s="70" t="s">
        <v>100</v>
      </c>
    </row>
    <row r="23" spans="1:14" x14ac:dyDescent="0.25">
      <c r="A23" s="67" t="s">
        <v>4</v>
      </c>
      <c r="B23" s="26" t="s">
        <v>36</v>
      </c>
      <c r="C23" s="26" t="s">
        <v>11</v>
      </c>
      <c r="D23" s="2" t="s">
        <v>66</v>
      </c>
      <c r="E23" s="5" t="str">
        <f>CONCATENATE(Table1[[#This Row],[Program]]," ", Table1[[#This Row],[Audience Name]])</f>
        <v>Here Lanes Alind Chonkar</v>
      </c>
      <c r="F23" s="5"/>
      <c r="G23" s="80" t="s">
        <v>65</v>
      </c>
      <c r="H23" s="72"/>
      <c r="I23" s="73"/>
      <c r="J23" s="73"/>
      <c r="K23" s="73" t="s">
        <v>105</v>
      </c>
      <c r="L23" s="74"/>
      <c r="M23" s="70"/>
      <c r="N23" s="70" t="s">
        <v>108</v>
      </c>
    </row>
    <row r="24" spans="1:14" ht="30" x14ac:dyDescent="0.25">
      <c r="A24" s="67" t="s">
        <v>4</v>
      </c>
      <c r="B24" s="26" t="s">
        <v>4</v>
      </c>
      <c r="C24" s="26" t="s">
        <v>11</v>
      </c>
      <c r="D24" s="2" t="s">
        <v>64</v>
      </c>
      <c r="E24" s="5" t="str">
        <f>CONCATENATE(Table1[[#This Row],[Program]]," ", Table1[[#This Row],[Audience Name]])</f>
        <v>ALC Tony Rzany</v>
      </c>
      <c r="F24" s="5"/>
      <c r="G24" s="80" t="s">
        <v>63</v>
      </c>
      <c r="H24" s="72" t="s">
        <v>220</v>
      </c>
      <c r="I24" s="73"/>
      <c r="J24" s="73" t="s">
        <v>101</v>
      </c>
      <c r="K24" s="73"/>
      <c r="L24" s="74"/>
      <c r="M24" s="70">
        <v>2</v>
      </c>
      <c r="N24" s="70" t="s">
        <v>116</v>
      </c>
    </row>
    <row r="25" spans="1:14" x14ac:dyDescent="0.25">
      <c r="A25" s="67" t="s">
        <v>4</v>
      </c>
      <c r="B25" s="26" t="s">
        <v>33</v>
      </c>
      <c r="C25" s="26" t="s">
        <v>11</v>
      </c>
      <c r="D25" s="2" t="s">
        <v>62</v>
      </c>
      <c r="E25" s="5" t="str">
        <f>CONCATENATE(Table1[[#This Row],[Program]]," ", Table1[[#This Row],[Audience Name]])</f>
        <v>Localization William Marks</v>
      </c>
      <c r="F25" s="5"/>
      <c r="G25" s="80" t="s">
        <v>61</v>
      </c>
      <c r="H25" s="72"/>
      <c r="I25" s="73"/>
      <c r="J25" s="73"/>
      <c r="K25" s="73" t="s">
        <v>220</v>
      </c>
      <c r="L25" s="74"/>
      <c r="M25" s="70"/>
      <c r="N25" s="70" t="s">
        <v>112</v>
      </c>
    </row>
    <row r="26" spans="1:14" x14ac:dyDescent="0.25">
      <c r="A26" s="67" t="s">
        <v>4</v>
      </c>
      <c r="B26" s="26" t="s">
        <v>36</v>
      </c>
      <c r="C26" s="26" t="s">
        <v>11</v>
      </c>
      <c r="D26" s="2" t="s">
        <v>60</v>
      </c>
      <c r="E26" s="5" t="str">
        <f>CONCATENATE(Table1[[#This Row],[Program]]," ", Table1[[#This Row],[Audience Name]])</f>
        <v>Here Lanes Ben Woodley</v>
      </c>
      <c r="F26" s="5"/>
      <c r="G26" s="80" t="s">
        <v>59</v>
      </c>
      <c r="H26" s="72"/>
      <c r="I26" s="73"/>
      <c r="J26" s="73"/>
      <c r="K26" s="73"/>
      <c r="L26" s="74"/>
      <c r="M26" s="70"/>
      <c r="N26" s="70" t="s">
        <v>100</v>
      </c>
    </row>
    <row r="27" spans="1:14" x14ac:dyDescent="0.25">
      <c r="A27" s="67" t="s">
        <v>4</v>
      </c>
      <c r="B27" s="26" t="s">
        <v>36</v>
      </c>
      <c r="C27" s="26" t="s">
        <v>11</v>
      </c>
      <c r="D27" s="2" t="s">
        <v>58</v>
      </c>
      <c r="E27" s="5" t="str">
        <f>CONCATENATE(Table1[[#This Row],[Program]]," ", Table1[[#This Row],[Audience Name]])</f>
        <v>Here Lanes Andrea Gagliardi</v>
      </c>
      <c r="F27" s="5"/>
      <c r="G27" s="80" t="s">
        <v>57</v>
      </c>
      <c r="H27" s="72"/>
      <c r="I27" s="73"/>
      <c r="J27" s="73"/>
      <c r="K27" s="73"/>
      <c r="L27" s="74"/>
      <c r="M27" s="70">
        <v>3</v>
      </c>
      <c r="N27" s="70" t="s">
        <v>116</v>
      </c>
    </row>
    <row r="28" spans="1:14" x14ac:dyDescent="0.25">
      <c r="A28" s="67" t="s">
        <v>4</v>
      </c>
      <c r="B28" s="26" t="s">
        <v>36</v>
      </c>
      <c r="C28" s="26" t="s">
        <v>11</v>
      </c>
      <c r="D28" s="2" t="s">
        <v>56</v>
      </c>
      <c r="E28" s="5" t="str">
        <f>CONCATENATE(Table1[[#This Row],[Program]]," ", Table1[[#This Row],[Audience Name]])</f>
        <v>Here Lanes Hussain Khan</v>
      </c>
      <c r="F28" s="5"/>
      <c r="G28" s="80" t="s">
        <v>55</v>
      </c>
      <c r="H28" s="72"/>
      <c r="I28" s="73"/>
      <c r="J28" s="73" t="s">
        <v>105</v>
      </c>
      <c r="K28" s="73" t="s">
        <v>101</v>
      </c>
      <c r="L28" s="74"/>
      <c r="M28" s="70"/>
      <c r="N28" s="70" t="s">
        <v>104</v>
      </c>
    </row>
    <row r="29" spans="1:14" x14ac:dyDescent="0.25">
      <c r="A29" s="67" t="s">
        <v>4</v>
      </c>
      <c r="B29" s="26" t="s">
        <v>36</v>
      </c>
      <c r="C29" s="26" t="s">
        <v>11</v>
      </c>
      <c r="D29" s="2" t="s">
        <v>54</v>
      </c>
      <c r="E29" s="5" t="str">
        <f>CONCATENATE(Table1[[#This Row],[Program]]," ", Table1[[#This Row],[Audience Name]])</f>
        <v>Here Lanes Sagar Zaveri</v>
      </c>
      <c r="F29" s="5"/>
      <c r="G29" s="80" t="s">
        <v>53</v>
      </c>
      <c r="H29" s="72"/>
      <c r="I29" s="73"/>
      <c r="J29" s="73"/>
      <c r="K29" s="73"/>
      <c r="L29" s="74" t="s">
        <v>101</v>
      </c>
      <c r="M29" s="70">
        <v>4</v>
      </c>
      <c r="N29" s="70" t="s">
        <v>116</v>
      </c>
    </row>
    <row r="30" spans="1:14" x14ac:dyDescent="0.25">
      <c r="A30" s="67" t="s">
        <v>4</v>
      </c>
      <c r="B30" s="26" t="s">
        <v>4</v>
      </c>
      <c r="C30" s="26" t="s">
        <v>11</v>
      </c>
      <c r="D30" s="2" t="s">
        <v>52</v>
      </c>
      <c r="E30" s="5" t="str">
        <f>CONCATENATE(Table1[[#This Row],[Program]]," ", Table1[[#This Row],[Audience Name]])</f>
        <v>ALC Eugene Feld</v>
      </c>
      <c r="F30" s="5"/>
      <c r="G30" s="80" t="s">
        <v>51</v>
      </c>
      <c r="H30" s="72" t="s">
        <v>113</v>
      </c>
      <c r="I30" s="73"/>
      <c r="J30" s="73"/>
      <c r="K30" s="73"/>
      <c r="L30" s="74"/>
      <c r="M30" s="70"/>
      <c r="N30" s="70" t="s">
        <v>104</v>
      </c>
    </row>
    <row r="31" spans="1:14" x14ac:dyDescent="0.25">
      <c r="A31" s="67" t="s">
        <v>4</v>
      </c>
      <c r="B31" s="26" t="s">
        <v>14</v>
      </c>
      <c r="C31" s="26" t="s">
        <v>11</v>
      </c>
      <c r="D31" s="2" t="s">
        <v>50</v>
      </c>
      <c r="E31" s="5" t="str">
        <f>CONCATENATE(Table1[[#This Row],[Program]]," ", Table1[[#This Row],[Audience Name]])</f>
        <v>HDLM Lanes Sneha Chaphalkar</v>
      </c>
      <c r="F31" s="5"/>
      <c r="G31" s="80" t="s">
        <v>49</v>
      </c>
      <c r="H31" s="72"/>
      <c r="I31" s="73" t="s">
        <v>117</v>
      </c>
      <c r="J31" s="73"/>
      <c r="K31" s="73" t="s">
        <v>220</v>
      </c>
      <c r="L31" s="74"/>
      <c r="M31" s="70">
        <v>4</v>
      </c>
      <c r="N31" s="70" t="s">
        <v>112</v>
      </c>
    </row>
    <row r="32" spans="1:14" x14ac:dyDescent="0.25">
      <c r="A32" s="67" t="s">
        <v>4</v>
      </c>
      <c r="B32" s="26" t="s">
        <v>14</v>
      </c>
      <c r="C32" s="26" t="s">
        <v>11</v>
      </c>
      <c r="D32" s="2" t="s">
        <v>48</v>
      </c>
      <c r="E32" s="5" t="str">
        <f>CONCATENATE(Table1[[#This Row],[Program]]," ", Table1[[#This Row],[Audience Name]])</f>
        <v>HDLM Lanes Michael Weiland</v>
      </c>
      <c r="F32" s="5"/>
      <c r="G32" s="80" t="s">
        <v>47</v>
      </c>
      <c r="H32" s="72"/>
      <c r="I32" s="73"/>
      <c r="J32" s="73"/>
      <c r="K32" s="73"/>
      <c r="L32" s="74"/>
      <c r="M32" s="70"/>
      <c r="N32" s="70" t="s">
        <v>100</v>
      </c>
    </row>
    <row r="33" spans="1:14" x14ac:dyDescent="0.25">
      <c r="A33" s="67" t="s">
        <v>4</v>
      </c>
      <c r="B33" s="26" t="s">
        <v>36</v>
      </c>
      <c r="C33" s="26" t="s">
        <v>11</v>
      </c>
      <c r="D33" s="2" t="s">
        <v>46</v>
      </c>
      <c r="E33" s="5" t="str">
        <f>CONCATENATE(Table1[[#This Row],[Program]]," ", Table1[[#This Row],[Audience Name]])</f>
        <v>Here Lanes Sjon Kuijpers</v>
      </c>
      <c r="F33" s="5"/>
      <c r="G33" s="80" t="s">
        <v>45</v>
      </c>
      <c r="H33" s="72"/>
      <c r="I33" s="73"/>
      <c r="J33" s="73"/>
      <c r="K33" s="73" t="s">
        <v>101</v>
      </c>
      <c r="L33" s="74" t="s">
        <v>101</v>
      </c>
      <c r="M33" s="70"/>
      <c r="N33" s="70" t="s">
        <v>108</v>
      </c>
    </row>
    <row r="34" spans="1:14" x14ac:dyDescent="0.25">
      <c r="A34" s="67" t="s">
        <v>4</v>
      </c>
      <c r="B34" s="26" t="s">
        <v>4</v>
      </c>
      <c r="C34" s="26" t="s">
        <v>11</v>
      </c>
      <c r="D34" s="2" t="s">
        <v>44</v>
      </c>
      <c r="E34" s="5" t="str">
        <f>CONCATENATE(Table1[[#This Row],[Program]]," ", Table1[[#This Row],[Audience Name]])</f>
        <v>ALC Rainu Pierce</v>
      </c>
      <c r="F34" s="5"/>
      <c r="G34" s="80" t="s">
        <v>43</v>
      </c>
      <c r="H34" s="72"/>
      <c r="I34" s="73"/>
      <c r="J34" s="73"/>
      <c r="K34" s="73"/>
      <c r="L34" s="74"/>
      <c r="M34" s="70"/>
      <c r="N34" s="70" t="s">
        <v>104</v>
      </c>
    </row>
    <row r="35" spans="1:14" x14ac:dyDescent="0.25">
      <c r="A35" s="67" t="s">
        <v>4</v>
      </c>
      <c r="B35" s="26" t="s">
        <v>36</v>
      </c>
      <c r="C35" s="26" t="s">
        <v>11</v>
      </c>
      <c r="D35" s="2" t="s">
        <v>42</v>
      </c>
      <c r="E35" s="5" t="str">
        <f>CONCATENATE(Table1[[#This Row],[Program]]," ", Table1[[#This Row],[Audience Name]])</f>
        <v>Here Lanes Susan Petr</v>
      </c>
      <c r="F35" s="5"/>
      <c r="G35" s="80" t="s">
        <v>41</v>
      </c>
      <c r="H35" s="72"/>
      <c r="I35" s="73"/>
      <c r="J35" s="73"/>
      <c r="K35" s="73"/>
      <c r="L35" s="74"/>
      <c r="M35" s="70"/>
      <c r="N35" s="70" t="s">
        <v>108</v>
      </c>
    </row>
    <row r="36" spans="1:14" ht="30" x14ac:dyDescent="0.25">
      <c r="A36" s="67" t="s">
        <v>4</v>
      </c>
      <c r="B36" s="26" t="s">
        <v>36</v>
      </c>
      <c r="C36" s="26" t="s">
        <v>11</v>
      </c>
      <c r="D36" s="2" t="s">
        <v>40</v>
      </c>
      <c r="E36" s="5" t="str">
        <f>CONCATENATE(Table1[[#This Row],[Program]]," ", Table1[[#This Row],[Audience Name]])</f>
        <v>Here Lanes Nancy Womack</v>
      </c>
      <c r="F36" s="5"/>
      <c r="G36" s="80" t="s">
        <v>39</v>
      </c>
      <c r="H36" s="72" t="s">
        <v>220</v>
      </c>
      <c r="I36" s="73"/>
      <c r="J36" s="73" t="s">
        <v>105</v>
      </c>
      <c r="K36" s="73"/>
      <c r="L36" s="74"/>
      <c r="M36" s="70"/>
      <c r="N36" s="70" t="s">
        <v>116</v>
      </c>
    </row>
    <row r="37" spans="1:14" x14ac:dyDescent="0.25">
      <c r="A37" s="67" t="s">
        <v>4</v>
      </c>
      <c r="B37" s="26" t="s">
        <v>36</v>
      </c>
      <c r="C37" s="26" t="s">
        <v>11</v>
      </c>
      <c r="D37" s="2" t="s">
        <v>38</v>
      </c>
      <c r="E37" s="5" t="str">
        <f>CONCATENATE(Table1[[#This Row],[Program]]," ", Table1[[#This Row],[Audience Name]])</f>
        <v>Here Lanes Andrey Ulianov</v>
      </c>
      <c r="F37" s="5"/>
      <c r="G37" s="80" t="s">
        <v>37</v>
      </c>
      <c r="H37" s="72"/>
      <c r="I37" s="73" t="s">
        <v>113</v>
      </c>
      <c r="J37" s="73"/>
      <c r="K37" s="73"/>
      <c r="L37" s="74"/>
      <c r="M37" s="70"/>
      <c r="N37" s="70" t="s">
        <v>108</v>
      </c>
    </row>
    <row r="38" spans="1:14" x14ac:dyDescent="0.25">
      <c r="A38" s="67" t="s">
        <v>4</v>
      </c>
      <c r="B38" s="26" t="s">
        <v>36</v>
      </c>
      <c r="C38" s="26" t="s">
        <v>11</v>
      </c>
      <c r="D38" s="2" t="s">
        <v>35</v>
      </c>
      <c r="E38" s="5" t="str">
        <f>CONCATENATE(Table1[[#This Row],[Program]]," ", Table1[[#This Row],[Audience Name]])</f>
        <v>Here Lanes Ashutosh Gawade</v>
      </c>
      <c r="F38" s="5"/>
      <c r="G38" s="80" t="s">
        <v>34</v>
      </c>
      <c r="H38" s="72"/>
      <c r="I38" s="73"/>
      <c r="J38" s="73"/>
      <c r="K38" s="73" t="s">
        <v>105</v>
      </c>
      <c r="L38" s="74"/>
      <c r="M38" s="70"/>
      <c r="N38" s="70" t="s">
        <v>100</v>
      </c>
    </row>
    <row r="39" spans="1:14" x14ac:dyDescent="0.25">
      <c r="A39" s="67" t="s">
        <v>4</v>
      </c>
      <c r="B39" s="26" t="s">
        <v>33</v>
      </c>
      <c r="C39" s="26" t="s">
        <v>11</v>
      </c>
      <c r="D39" s="2" t="s">
        <v>32</v>
      </c>
      <c r="E39" s="5" t="str">
        <f>CONCATENATE(Table1[[#This Row],[Program]]," ", Table1[[#This Row],[Audience Name]])</f>
        <v>Localization Guy Romano</v>
      </c>
      <c r="F39" s="5"/>
      <c r="G39" s="80" t="s">
        <v>31</v>
      </c>
      <c r="H39" s="72"/>
      <c r="I39" s="73"/>
      <c r="J39" s="73"/>
      <c r="K39" s="73"/>
      <c r="L39" s="74"/>
      <c r="M39" s="70">
        <v>3</v>
      </c>
      <c r="N39" s="70" t="s">
        <v>116</v>
      </c>
    </row>
    <row r="40" spans="1:14" x14ac:dyDescent="0.25">
      <c r="A40" s="67" t="s">
        <v>4</v>
      </c>
      <c r="B40" s="26" t="s">
        <v>3</v>
      </c>
      <c r="C40" s="26" t="s">
        <v>11</v>
      </c>
      <c r="D40" s="2" t="s">
        <v>30</v>
      </c>
      <c r="E40" s="5" t="str">
        <f>CONCATENATE(Table1[[#This Row],[Program]]," ", Table1[[#This Row],[Audience Name]])</f>
        <v>MFA Uyen Nguyen</v>
      </c>
      <c r="F40" s="5"/>
      <c r="G40" s="80" t="s">
        <v>29</v>
      </c>
      <c r="H40" s="72"/>
      <c r="I40" s="73"/>
      <c r="J40" s="73"/>
      <c r="K40" s="73"/>
      <c r="L40" s="74" t="s">
        <v>105</v>
      </c>
      <c r="M40" s="70"/>
      <c r="N40" s="70" t="s">
        <v>104</v>
      </c>
    </row>
    <row r="41" spans="1:14" x14ac:dyDescent="0.25">
      <c r="A41" s="67" t="s">
        <v>4</v>
      </c>
      <c r="B41" s="26" t="s">
        <v>4</v>
      </c>
      <c r="C41" s="26" t="s">
        <v>11</v>
      </c>
      <c r="D41" s="2" t="s">
        <v>28</v>
      </c>
      <c r="E41" s="5" t="str">
        <f>CONCATENATE(Table1[[#This Row],[Program]]," ", Table1[[#This Row],[Audience Name]])</f>
        <v>ALC Vikas Wadhwa</v>
      </c>
      <c r="F41" s="5"/>
      <c r="G41" s="80" t="s">
        <v>27</v>
      </c>
      <c r="H41" s="72"/>
      <c r="I41" s="73"/>
      <c r="J41" s="73"/>
      <c r="K41" s="73" t="s">
        <v>101</v>
      </c>
      <c r="L41" s="74"/>
      <c r="M41" s="70"/>
      <c r="N41" s="70" t="s">
        <v>100</v>
      </c>
    </row>
    <row r="42" spans="1:14" x14ac:dyDescent="0.25">
      <c r="A42" s="67" t="s">
        <v>4</v>
      </c>
      <c r="B42" s="26" t="s">
        <v>4</v>
      </c>
      <c r="C42" s="26" t="s">
        <v>11</v>
      </c>
      <c r="D42" s="2" t="s">
        <v>26</v>
      </c>
      <c r="E42" s="5" t="str">
        <f>CONCATENATE(Table1[[#This Row],[Program]]," ", Table1[[#This Row],[Audience Name]])</f>
        <v>ALC Nisha Sharma</v>
      </c>
      <c r="F42" s="5"/>
      <c r="G42" s="80" t="s">
        <v>25</v>
      </c>
      <c r="H42" s="72"/>
      <c r="I42" s="73"/>
      <c r="J42" s="73" t="s">
        <v>101</v>
      </c>
      <c r="K42" s="73"/>
      <c r="L42" s="74" t="s">
        <v>105</v>
      </c>
      <c r="M42" s="70"/>
      <c r="N42" s="70" t="s">
        <v>116</v>
      </c>
    </row>
    <row r="43" spans="1:14" x14ac:dyDescent="0.25">
      <c r="A43" s="67" t="s">
        <v>4</v>
      </c>
      <c r="B43" s="26" t="s">
        <v>14</v>
      </c>
      <c r="C43" s="26" t="s">
        <v>11</v>
      </c>
      <c r="D43" s="4" t="s">
        <v>24</v>
      </c>
      <c r="E43" s="4" t="str">
        <f>CONCATENATE(Table1[[#This Row],[Program]]," ", Table1[[#This Row],[Audience Name]])</f>
        <v>HDLM Lanes James Panek</v>
      </c>
      <c r="G43" s="80" t="s">
        <v>23</v>
      </c>
      <c r="H43" s="72"/>
      <c r="I43" s="73"/>
      <c r="J43" s="73"/>
      <c r="K43" s="73"/>
      <c r="L43" s="74"/>
      <c r="M43" s="70"/>
      <c r="N43" s="70" t="s">
        <v>108</v>
      </c>
    </row>
    <row r="44" spans="1:14" x14ac:dyDescent="0.25">
      <c r="A44" s="67" t="s">
        <v>4</v>
      </c>
      <c r="B44" s="26" t="s">
        <v>14</v>
      </c>
      <c r="C44" s="26" t="s">
        <v>11</v>
      </c>
      <c r="D44" s="2" t="s">
        <v>22</v>
      </c>
      <c r="E44" s="2" t="str">
        <f>CONCATENATE(Table1[[#This Row],[Program]]," ", Table1[[#This Row],[Audience Name]])</f>
        <v>HDLM Lanes Krzysztof Makiel</v>
      </c>
      <c r="G44" s="80" t="s">
        <v>21</v>
      </c>
      <c r="H44" s="72"/>
      <c r="I44" s="73"/>
      <c r="J44" s="73"/>
      <c r="K44" s="73"/>
      <c r="L44" s="74"/>
      <c r="M44" s="70"/>
      <c r="N44" s="70" t="s">
        <v>112</v>
      </c>
    </row>
    <row r="45" spans="1:14" x14ac:dyDescent="0.25">
      <c r="A45" s="67" t="s">
        <v>4</v>
      </c>
      <c r="B45" s="26" t="s">
        <v>14</v>
      </c>
      <c r="C45" s="26" t="s">
        <v>11</v>
      </c>
      <c r="D45" s="2" t="s">
        <v>20</v>
      </c>
      <c r="E45" s="2" t="str">
        <f>CONCATENATE(Table1[[#This Row],[Program]]," ", Table1[[#This Row],[Audience Name]])</f>
        <v>HDLM Lanes Juilo Arrioja</v>
      </c>
      <c r="G45" s="80" t="s">
        <v>19</v>
      </c>
      <c r="H45" s="72"/>
      <c r="I45" s="73"/>
      <c r="J45" s="73"/>
      <c r="K45" s="73"/>
      <c r="L45" s="74"/>
      <c r="M45" s="70">
        <v>10</v>
      </c>
      <c r="N45" s="70" t="s">
        <v>100</v>
      </c>
    </row>
    <row r="46" spans="1:14" ht="30" x14ac:dyDescent="0.25">
      <c r="A46" s="67" t="s">
        <v>4</v>
      </c>
      <c r="B46" s="26" t="s">
        <v>4</v>
      </c>
      <c r="C46" s="26" t="s">
        <v>11</v>
      </c>
      <c r="D46" s="2" t="s">
        <v>18</v>
      </c>
      <c r="E46" s="2" t="str">
        <f>CONCATENATE(Table1[[#This Row],[Program]]," ", Table1[[#This Row],[Audience Name]])</f>
        <v>ALC Don Peterson</v>
      </c>
      <c r="G46" s="80" t="s">
        <v>17</v>
      </c>
      <c r="H46" s="72"/>
      <c r="I46" s="73" t="s">
        <v>220</v>
      </c>
      <c r="J46" s="73"/>
      <c r="K46" s="73" t="s">
        <v>101</v>
      </c>
      <c r="L46" s="74" t="s">
        <v>101</v>
      </c>
      <c r="M46" s="70"/>
      <c r="N46" s="70" t="s">
        <v>116</v>
      </c>
    </row>
    <row r="47" spans="1:14" x14ac:dyDescent="0.25">
      <c r="A47" s="67" t="s">
        <v>4</v>
      </c>
      <c r="B47" s="26" t="s">
        <v>4</v>
      </c>
      <c r="C47" s="26" t="s">
        <v>11</v>
      </c>
      <c r="D47" s="3" t="s">
        <v>16</v>
      </c>
      <c r="E47" s="3" t="str">
        <f>CONCATENATE(Table1[[#This Row],[Program]]," ", Table1[[#This Row],[Audience Name]])</f>
        <v>ALC Anuradha Shenoy</v>
      </c>
      <c r="G47" s="80" t="s">
        <v>15</v>
      </c>
      <c r="H47" s="72"/>
      <c r="I47" s="73"/>
      <c r="J47" s="73"/>
      <c r="K47" s="73"/>
      <c r="L47" s="74"/>
      <c r="M47" s="70">
        <v>5</v>
      </c>
      <c r="N47" s="70" t="s">
        <v>108</v>
      </c>
    </row>
    <row r="48" spans="1:14" ht="30" x14ac:dyDescent="0.25">
      <c r="A48" s="67" t="s">
        <v>4</v>
      </c>
      <c r="B48" s="26" t="s">
        <v>14</v>
      </c>
      <c r="C48" s="26" t="s">
        <v>11</v>
      </c>
      <c r="D48" s="2" t="s">
        <v>13</v>
      </c>
      <c r="E48" s="2" t="str">
        <f>CONCATENATE(Table1[[#This Row],[Program]]," ", Table1[[#This Row],[Audience Name]])</f>
        <v>HDLM Lanes Max Berggren</v>
      </c>
      <c r="G48" s="80" t="s">
        <v>12</v>
      </c>
      <c r="H48" s="72"/>
      <c r="I48" s="73" t="s">
        <v>101</v>
      </c>
      <c r="J48" s="73"/>
      <c r="K48" s="73"/>
      <c r="L48" s="74"/>
      <c r="M48" s="70"/>
      <c r="N48" s="70" t="s">
        <v>100</v>
      </c>
    </row>
    <row r="49" spans="1:14" x14ac:dyDescent="0.25">
      <c r="A49" s="67" t="s">
        <v>4</v>
      </c>
      <c r="B49" s="26" t="s">
        <v>4</v>
      </c>
      <c r="C49" s="26" t="s">
        <v>11</v>
      </c>
      <c r="D49" s="2" t="s">
        <v>10</v>
      </c>
      <c r="E49" s="2" t="str">
        <f>CONCATENATE(Table1[[#This Row],[Program]]," ", Table1[[#This Row],[Audience Name]])</f>
        <v>ALC Nisha Saini</v>
      </c>
      <c r="G49" s="80" t="s">
        <v>9</v>
      </c>
      <c r="H49" s="72"/>
      <c r="I49" s="73"/>
      <c r="J49" s="73"/>
      <c r="K49" s="73"/>
      <c r="L49" s="74"/>
      <c r="M49" s="70"/>
      <c r="N49" s="70" t="s">
        <v>112</v>
      </c>
    </row>
    <row r="50" spans="1:14" x14ac:dyDescent="0.25">
      <c r="A50" s="67" t="s">
        <v>4</v>
      </c>
      <c r="B50" s="26" t="s">
        <v>3</v>
      </c>
      <c r="C50" s="26" t="s">
        <v>2</v>
      </c>
      <c r="D50" s="2" t="s">
        <v>8</v>
      </c>
      <c r="E50" s="2" t="str">
        <f>CONCATENATE(Table1[[#This Row],[Program]]," ", Table1[[#This Row],[Audience Name]])</f>
        <v>MFA Adhithya Rajan</v>
      </c>
      <c r="G50" s="80" t="s">
        <v>7</v>
      </c>
      <c r="H50" s="72"/>
      <c r="I50" s="73"/>
      <c r="J50" s="73"/>
      <c r="K50" s="73"/>
      <c r="L50" s="74" t="s">
        <v>101</v>
      </c>
      <c r="M50" s="70"/>
      <c r="N50" s="70" t="s">
        <v>104</v>
      </c>
    </row>
    <row r="51" spans="1:14" ht="30" x14ac:dyDescent="0.25">
      <c r="A51" s="67" t="s">
        <v>4</v>
      </c>
      <c r="B51" s="26" t="s">
        <v>3</v>
      </c>
      <c r="C51" s="26" t="s">
        <v>2</v>
      </c>
      <c r="D51" s="2" t="s">
        <v>6</v>
      </c>
      <c r="E51" s="2" t="str">
        <f>CONCATENATE(Table1[[#This Row],[Program]]," ", Table1[[#This Row],[Audience Name]])</f>
        <v>MFA Katherine Aanensen</v>
      </c>
      <c r="G51" s="80" t="s">
        <v>5</v>
      </c>
      <c r="H51" s="72" t="s">
        <v>220</v>
      </c>
      <c r="I51" s="73"/>
      <c r="J51" s="73"/>
      <c r="K51" s="73"/>
      <c r="L51" s="74"/>
      <c r="M51" s="70"/>
      <c r="N51" s="70" t="s">
        <v>104</v>
      </c>
    </row>
    <row r="52" spans="1:14" ht="15.75" thickBot="1" x14ac:dyDescent="0.3">
      <c r="A52" s="68" t="s">
        <v>4</v>
      </c>
      <c r="B52" s="58" t="s">
        <v>3</v>
      </c>
      <c r="C52" s="58" t="s">
        <v>2</v>
      </c>
      <c r="D52" s="82" t="s">
        <v>1</v>
      </c>
      <c r="E52" s="82" t="str">
        <f>CONCATENATE(Table1[[#This Row],[Program]]," ", Table1[[#This Row],[Audience Name]])</f>
        <v>MFA Brandon Ludwig</v>
      </c>
      <c r="F52" s="82"/>
      <c r="G52" s="83" t="s">
        <v>0</v>
      </c>
      <c r="H52" s="72" t="s">
        <v>101</v>
      </c>
      <c r="I52" s="75" t="s">
        <v>105</v>
      </c>
      <c r="J52" s="75" t="s">
        <v>105</v>
      </c>
      <c r="K52" s="75" t="s">
        <v>105</v>
      </c>
      <c r="L52" s="76" t="s">
        <v>105</v>
      </c>
      <c r="M52" s="71">
        <v>8</v>
      </c>
      <c r="N52" s="71" t="s">
        <v>104</v>
      </c>
    </row>
    <row r="53" spans="1:14" x14ac:dyDescent="0.25">
      <c r="D53" s="1"/>
      <c r="E53" s="1"/>
      <c r="F53" s="1"/>
      <c r="G53" s="1"/>
    </row>
    <row r="54" spans="1:14" x14ac:dyDescent="0.25">
      <c r="D54" s="1"/>
      <c r="E54" s="1"/>
      <c r="F54" s="1"/>
      <c r="G54" s="1"/>
    </row>
    <row r="55" spans="1:14" x14ac:dyDescent="0.25">
      <c r="D55" s="1"/>
      <c r="E55" s="1"/>
      <c r="F55" s="1"/>
      <c r="G55" s="1"/>
    </row>
    <row r="56" spans="1:14" x14ac:dyDescent="0.25">
      <c r="D56" s="1"/>
      <c r="E56" s="1"/>
      <c r="F56" s="1"/>
      <c r="G56" s="1"/>
    </row>
    <row r="57" spans="1:14" x14ac:dyDescent="0.25">
      <c r="D57" s="1"/>
      <c r="E57" s="1"/>
      <c r="F57" s="1"/>
      <c r="G57" s="1"/>
    </row>
    <row r="58" spans="1:14" x14ac:dyDescent="0.25">
      <c r="D58" s="1"/>
      <c r="E58" s="1"/>
      <c r="F58" s="1"/>
      <c r="G58" s="1"/>
    </row>
    <row r="59" spans="1:14" x14ac:dyDescent="0.25">
      <c r="D59" s="1"/>
      <c r="E59" s="1"/>
      <c r="F59" s="1"/>
      <c r="G59" s="1"/>
    </row>
    <row r="60" spans="1:14" x14ac:dyDescent="0.25">
      <c r="D60" s="1"/>
      <c r="E60" s="1"/>
      <c r="F60" s="1"/>
      <c r="G60" s="1"/>
    </row>
    <row r="61" spans="1:14" x14ac:dyDescent="0.25">
      <c r="D61" s="1"/>
      <c r="E61" s="1"/>
      <c r="F61" s="1"/>
      <c r="G61" s="1"/>
    </row>
    <row r="62" spans="1:14" x14ac:dyDescent="0.25">
      <c r="D62" s="1"/>
      <c r="E62" s="1"/>
      <c r="F62" s="1"/>
      <c r="G62" s="1"/>
    </row>
    <row r="63" spans="1:14" x14ac:dyDescent="0.25">
      <c r="D63" s="1"/>
      <c r="E63" s="1"/>
      <c r="F63" s="1"/>
      <c r="G63" s="1"/>
    </row>
    <row r="64" spans="1:14" x14ac:dyDescent="0.25">
      <c r="D64" s="1"/>
      <c r="E64" s="1"/>
      <c r="F64" s="1"/>
      <c r="G64" s="1"/>
    </row>
    <row r="65" spans="4:7" x14ac:dyDescent="0.25">
      <c r="D65" s="1"/>
      <c r="E65" s="1"/>
      <c r="F65" s="1"/>
      <c r="G65" s="1"/>
    </row>
    <row r="66" spans="4:7" x14ac:dyDescent="0.25">
      <c r="D66" s="1"/>
      <c r="E66" s="1"/>
      <c r="F66" s="1"/>
      <c r="G66" s="1"/>
    </row>
    <row r="67" spans="4:7" x14ac:dyDescent="0.25">
      <c r="D67" s="1"/>
      <c r="E67" s="1"/>
      <c r="F67" s="1"/>
      <c r="G67" s="1"/>
    </row>
    <row r="68" spans="4:7" x14ac:dyDescent="0.25">
      <c r="D68" s="1"/>
      <c r="E68" s="1"/>
      <c r="F68" s="1"/>
      <c r="G68" s="1"/>
    </row>
    <row r="69" spans="4:7" x14ac:dyDescent="0.25">
      <c r="D69" s="1"/>
      <c r="E69" s="1"/>
      <c r="F69" s="1"/>
      <c r="G69" s="1"/>
    </row>
    <row r="70" spans="4:7" x14ac:dyDescent="0.25">
      <c r="D70" s="1"/>
      <c r="E70" s="1"/>
      <c r="F70" s="1"/>
      <c r="G70" s="1"/>
    </row>
    <row r="71" spans="4:7" x14ac:dyDescent="0.25">
      <c r="D71" s="1"/>
      <c r="E71" s="1"/>
      <c r="F71" s="1"/>
      <c r="G71" s="1"/>
    </row>
    <row r="72" spans="4:7" x14ac:dyDescent="0.25">
      <c r="D72" s="1"/>
      <c r="E72" s="1"/>
      <c r="F72" s="1"/>
      <c r="G72" s="1"/>
    </row>
    <row r="73" spans="4:7" x14ac:dyDescent="0.25">
      <c r="D73" s="1"/>
      <c r="E73" s="1"/>
      <c r="F73" s="1"/>
      <c r="G73" s="1"/>
    </row>
    <row r="74" spans="4:7" x14ac:dyDescent="0.25">
      <c r="D74" s="1"/>
      <c r="E74" s="1"/>
      <c r="F74" s="1"/>
      <c r="G74" s="1"/>
    </row>
    <row r="75" spans="4:7" x14ac:dyDescent="0.25">
      <c r="D75" s="1"/>
      <c r="E75" s="1"/>
      <c r="F75" s="1"/>
      <c r="G75" s="1"/>
    </row>
    <row r="76" spans="4:7" x14ac:dyDescent="0.25">
      <c r="D76" s="1"/>
      <c r="E76" s="1"/>
      <c r="F76" s="1"/>
      <c r="G76" s="1"/>
    </row>
    <row r="77" spans="4:7" x14ac:dyDescent="0.25">
      <c r="D77" s="1"/>
      <c r="E77" s="1"/>
      <c r="F77" s="1"/>
      <c r="G77" s="1"/>
    </row>
    <row r="78" spans="4:7" x14ac:dyDescent="0.25">
      <c r="D78" s="1"/>
      <c r="E78" s="1"/>
      <c r="F78" s="1"/>
      <c r="G78" s="1"/>
    </row>
    <row r="79" spans="4:7" x14ac:dyDescent="0.25">
      <c r="D79" s="1"/>
      <c r="E79" s="1"/>
      <c r="F79" s="1"/>
      <c r="G79" s="1"/>
    </row>
    <row r="80" spans="4:7" x14ac:dyDescent="0.25">
      <c r="D80" s="1"/>
      <c r="E80" s="1"/>
      <c r="F80" s="1"/>
      <c r="G80" s="1"/>
    </row>
    <row r="81" spans="4:7" x14ac:dyDescent="0.25">
      <c r="D81" s="1"/>
      <c r="E81" s="1"/>
      <c r="F81" s="1"/>
      <c r="G81" s="1"/>
    </row>
    <row r="82" spans="4:7" x14ac:dyDescent="0.25">
      <c r="D82" s="1"/>
      <c r="E82" s="1"/>
      <c r="F82" s="1"/>
      <c r="G82" s="1"/>
    </row>
    <row r="83" spans="4:7" x14ac:dyDescent="0.25">
      <c r="D83" s="1"/>
      <c r="E83" s="1"/>
      <c r="F83" s="1"/>
      <c r="G83" s="1"/>
    </row>
    <row r="84" spans="4:7" x14ac:dyDescent="0.25">
      <c r="D84" s="1"/>
      <c r="E84" s="1"/>
      <c r="F84" s="1"/>
      <c r="G84" s="1"/>
    </row>
    <row r="85" spans="4:7" x14ac:dyDescent="0.25">
      <c r="D85" s="1"/>
      <c r="E85" s="1"/>
      <c r="F85" s="1"/>
      <c r="G85" s="1"/>
    </row>
    <row r="86" spans="4:7" x14ac:dyDescent="0.25">
      <c r="D86" s="1"/>
      <c r="E86" s="1"/>
      <c r="F86" s="1"/>
      <c r="G86" s="1"/>
    </row>
    <row r="87" spans="4:7" x14ac:dyDescent="0.25">
      <c r="D87" s="1"/>
      <c r="E87" s="1"/>
      <c r="F87" s="1"/>
      <c r="G87" s="1"/>
    </row>
    <row r="88" spans="4:7" x14ac:dyDescent="0.25">
      <c r="D88" s="1"/>
      <c r="E88" s="1"/>
      <c r="F88" s="1"/>
      <c r="G88" s="1"/>
    </row>
    <row r="89" spans="4:7" x14ac:dyDescent="0.25">
      <c r="D89" s="1"/>
      <c r="E89" s="1"/>
      <c r="F89" s="1"/>
      <c r="G89" s="1"/>
    </row>
    <row r="90" spans="4:7" x14ac:dyDescent="0.25">
      <c r="D90" s="1"/>
      <c r="E90" s="1"/>
      <c r="F90" s="1"/>
      <c r="G90" s="1"/>
    </row>
    <row r="91" spans="4:7" x14ac:dyDescent="0.25">
      <c r="D91" s="1"/>
      <c r="E91" s="1"/>
      <c r="F91" s="1"/>
      <c r="G91" s="1"/>
    </row>
    <row r="92" spans="4:7" x14ac:dyDescent="0.25">
      <c r="D92" s="1"/>
      <c r="E92" s="1"/>
      <c r="F92" s="1"/>
      <c r="G92" s="1"/>
    </row>
    <row r="93" spans="4:7" x14ac:dyDescent="0.25">
      <c r="D93" s="1"/>
      <c r="E93" s="1"/>
      <c r="F93" s="1"/>
      <c r="G93" s="1"/>
    </row>
    <row r="94" spans="4:7" x14ac:dyDescent="0.25">
      <c r="D94" s="1"/>
      <c r="E94" s="1"/>
      <c r="F94" s="1"/>
      <c r="G94" s="1"/>
    </row>
    <row r="95" spans="4:7" x14ac:dyDescent="0.25">
      <c r="D95" s="1"/>
      <c r="E95" s="1"/>
      <c r="F95" s="1"/>
      <c r="G95" s="1"/>
    </row>
    <row r="96" spans="4:7" x14ac:dyDescent="0.25">
      <c r="D96" s="1"/>
      <c r="E96" s="1"/>
      <c r="F96" s="1"/>
      <c r="G96" s="1"/>
    </row>
    <row r="97" spans="4:7" x14ac:dyDescent="0.25">
      <c r="D97" s="1"/>
      <c r="E97" s="1"/>
      <c r="F97" s="1"/>
      <c r="G97" s="1"/>
    </row>
    <row r="98" spans="4:7" x14ac:dyDescent="0.25">
      <c r="D98" s="1"/>
      <c r="E98" s="1"/>
      <c r="F98" s="1"/>
      <c r="G98" s="1"/>
    </row>
    <row r="99" spans="4:7" x14ac:dyDescent="0.25">
      <c r="D99" s="1"/>
      <c r="E99" s="1"/>
      <c r="F99" s="1"/>
      <c r="G99" s="1"/>
    </row>
    <row r="100" spans="4:7" x14ac:dyDescent="0.25">
      <c r="D100" s="1"/>
      <c r="E100" s="1"/>
      <c r="F100" s="1"/>
      <c r="G100" s="1"/>
    </row>
    <row r="101" spans="4:7" x14ac:dyDescent="0.25">
      <c r="D101" s="1"/>
      <c r="E101" s="1"/>
      <c r="F101" s="1"/>
      <c r="G101" s="1"/>
    </row>
    <row r="102" spans="4:7" x14ac:dyDescent="0.25">
      <c r="D102" s="1"/>
      <c r="E102" s="1"/>
      <c r="F102" s="1"/>
      <c r="G102" s="1"/>
    </row>
    <row r="103" spans="4:7" x14ac:dyDescent="0.25">
      <c r="D103" s="1"/>
      <c r="E103" s="1"/>
      <c r="F103" s="1"/>
      <c r="G103" s="1"/>
    </row>
    <row r="104" spans="4:7" x14ac:dyDescent="0.25">
      <c r="D104" s="1"/>
      <c r="E104" s="1"/>
      <c r="F104" s="1"/>
      <c r="G104" s="1"/>
    </row>
    <row r="105" spans="4:7" x14ac:dyDescent="0.25">
      <c r="D105" s="1"/>
      <c r="E105" s="1"/>
      <c r="F105" s="1"/>
      <c r="G105" s="1"/>
    </row>
    <row r="106" spans="4:7" x14ac:dyDescent="0.25">
      <c r="D106" s="1"/>
      <c r="E106" s="1"/>
      <c r="F106" s="1"/>
      <c r="G106" s="1"/>
    </row>
    <row r="107" spans="4:7" x14ac:dyDescent="0.25">
      <c r="D107" s="1"/>
      <c r="E107" s="1"/>
      <c r="F107" s="1"/>
      <c r="G107" s="1"/>
    </row>
    <row r="108" spans="4:7" x14ac:dyDescent="0.25">
      <c r="D108" s="1"/>
      <c r="E108" s="1"/>
      <c r="F108" s="1"/>
      <c r="G108" s="1"/>
    </row>
    <row r="109" spans="4:7" x14ac:dyDescent="0.25">
      <c r="D109" s="1"/>
      <c r="E109" s="1"/>
      <c r="F109" s="1"/>
      <c r="G109" s="1"/>
    </row>
    <row r="110" spans="4:7" x14ac:dyDescent="0.25">
      <c r="D110" s="1"/>
      <c r="E110" s="1"/>
      <c r="F110" s="1"/>
      <c r="G110" s="1"/>
    </row>
    <row r="111" spans="4:7" x14ac:dyDescent="0.25">
      <c r="D111" s="1"/>
      <c r="E111" s="1"/>
      <c r="F111" s="1"/>
      <c r="G111" s="1"/>
    </row>
    <row r="112" spans="4:7" x14ac:dyDescent="0.25">
      <c r="D112" s="1"/>
      <c r="E112" s="1"/>
      <c r="F112" s="1"/>
      <c r="G112" s="1"/>
    </row>
    <row r="113" spans="4:7" x14ac:dyDescent="0.25">
      <c r="D113" s="1"/>
      <c r="E113" s="1"/>
      <c r="F113" s="1"/>
      <c r="G113" s="1"/>
    </row>
    <row r="114" spans="4:7" x14ac:dyDescent="0.25">
      <c r="D114" s="1"/>
      <c r="E114" s="1"/>
      <c r="F114" s="1"/>
      <c r="G114" s="1"/>
    </row>
    <row r="115" spans="4:7" x14ac:dyDescent="0.25">
      <c r="D115" s="1"/>
      <c r="E115" s="1"/>
      <c r="F115" s="1"/>
      <c r="G115" s="1"/>
    </row>
    <row r="116" spans="4:7" x14ac:dyDescent="0.25">
      <c r="D116" s="1"/>
      <c r="E116" s="1"/>
      <c r="F116" s="1"/>
      <c r="G116" s="1"/>
    </row>
    <row r="117" spans="4:7" x14ac:dyDescent="0.25">
      <c r="D117" s="1"/>
      <c r="E117" s="1"/>
      <c r="F117" s="1"/>
      <c r="G117" s="1"/>
    </row>
    <row r="118" spans="4:7" x14ac:dyDescent="0.25">
      <c r="D118" s="1"/>
      <c r="E118" s="1"/>
      <c r="F118" s="1"/>
      <c r="G118" s="1"/>
    </row>
    <row r="119" spans="4:7" x14ac:dyDescent="0.25">
      <c r="D119" s="1"/>
      <c r="E119" s="1"/>
      <c r="F119" s="1"/>
      <c r="G119" s="1"/>
    </row>
    <row r="120" spans="4:7" x14ac:dyDescent="0.25">
      <c r="D120" s="1"/>
      <c r="E120" s="1"/>
      <c r="F120" s="1"/>
      <c r="G120" s="1"/>
    </row>
    <row r="121" spans="4:7" x14ac:dyDescent="0.25">
      <c r="D121" s="1"/>
      <c r="E121" s="1"/>
      <c r="F121" s="1"/>
      <c r="G121" s="1"/>
    </row>
    <row r="122" spans="4:7" x14ac:dyDescent="0.25">
      <c r="D122" s="1"/>
      <c r="E122" s="1"/>
      <c r="F122" s="1"/>
      <c r="G122" s="1"/>
    </row>
    <row r="123" spans="4:7" x14ac:dyDescent="0.25">
      <c r="D123" s="1"/>
      <c r="E123" s="1"/>
      <c r="F123" s="1"/>
      <c r="G123" s="1"/>
    </row>
    <row r="124" spans="4:7" x14ac:dyDescent="0.25">
      <c r="D124" s="1"/>
      <c r="E124" s="1"/>
      <c r="F124" s="1"/>
      <c r="G124" s="1"/>
    </row>
    <row r="125" spans="4:7" x14ac:dyDescent="0.25">
      <c r="D125" s="1"/>
      <c r="E125" s="1"/>
      <c r="F125" s="1"/>
      <c r="G125" s="1"/>
    </row>
    <row r="126" spans="4:7" x14ac:dyDescent="0.25">
      <c r="D126" s="1"/>
      <c r="E126" s="1"/>
      <c r="F126" s="1"/>
      <c r="G126" s="1"/>
    </row>
    <row r="127" spans="4:7" x14ac:dyDescent="0.25">
      <c r="D127" s="1"/>
      <c r="E127" s="1"/>
      <c r="F127" s="1"/>
      <c r="G127" s="1"/>
    </row>
    <row r="128" spans="4:7" x14ac:dyDescent="0.25">
      <c r="D128" s="1"/>
      <c r="E128" s="1"/>
      <c r="F128" s="1"/>
      <c r="G128" s="1"/>
    </row>
    <row r="129" spans="4:7" x14ac:dyDescent="0.25">
      <c r="D129" s="1"/>
      <c r="E129" s="1"/>
      <c r="F129" s="1"/>
      <c r="G129" s="1"/>
    </row>
    <row r="130" spans="4:7" x14ac:dyDescent="0.25">
      <c r="D130" s="1"/>
      <c r="E130" s="1"/>
      <c r="F130" s="1"/>
      <c r="G130" s="1"/>
    </row>
    <row r="131" spans="4:7" x14ac:dyDescent="0.25">
      <c r="D131" s="1"/>
      <c r="E131" s="1"/>
      <c r="F131" s="1"/>
      <c r="G131" s="1"/>
    </row>
    <row r="132" spans="4:7" x14ac:dyDescent="0.25">
      <c r="D132" s="1"/>
      <c r="E132" s="1"/>
      <c r="F132" s="1"/>
      <c r="G132" s="1"/>
    </row>
    <row r="133" spans="4:7" x14ac:dyDescent="0.25">
      <c r="D133" s="1"/>
      <c r="E133" s="1"/>
      <c r="F133" s="1"/>
      <c r="G133" s="1"/>
    </row>
    <row r="134" spans="4:7" x14ac:dyDescent="0.25">
      <c r="D134" s="1"/>
      <c r="E134" s="1"/>
      <c r="F134" s="1"/>
      <c r="G134" s="1"/>
    </row>
    <row r="135" spans="4:7" x14ac:dyDescent="0.25">
      <c r="D135" s="1"/>
      <c r="E135" s="1"/>
      <c r="F135" s="1"/>
      <c r="G135" s="1"/>
    </row>
    <row r="136" spans="4:7" x14ac:dyDescent="0.25">
      <c r="D136" s="1"/>
      <c r="E136" s="1"/>
      <c r="F136" s="1"/>
      <c r="G136" s="1"/>
    </row>
    <row r="137" spans="4:7" x14ac:dyDescent="0.25">
      <c r="D137" s="1"/>
      <c r="E137" s="1"/>
      <c r="F137" s="1"/>
      <c r="G137" s="1"/>
    </row>
    <row r="138" spans="4:7" x14ac:dyDescent="0.25">
      <c r="D138" s="1"/>
      <c r="E138" s="1"/>
      <c r="F138" s="1"/>
      <c r="G138" s="1"/>
    </row>
    <row r="139" spans="4:7" x14ac:dyDescent="0.25">
      <c r="D139" s="1"/>
      <c r="E139" s="1"/>
      <c r="F139" s="1"/>
      <c r="G139" s="1"/>
    </row>
    <row r="140" spans="4:7" x14ac:dyDescent="0.25">
      <c r="D140" s="1"/>
      <c r="E140" s="1"/>
      <c r="F140" s="1"/>
      <c r="G140" s="1"/>
    </row>
    <row r="141" spans="4:7" x14ac:dyDescent="0.25">
      <c r="D141" s="1"/>
      <c r="E141" s="1"/>
      <c r="F141" s="1"/>
      <c r="G141" s="1"/>
    </row>
    <row r="142" spans="4:7" x14ac:dyDescent="0.25">
      <c r="D142" s="1"/>
      <c r="E142" s="1"/>
      <c r="F142" s="1"/>
      <c r="G142" s="1"/>
    </row>
    <row r="143" spans="4:7" x14ac:dyDescent="0.25">
      <c r="D143" s="1"/>
      <c r="E143" s="1"/>
      <c r="F143" s="1"/>
      <c r="G143" s="1"/>
    </row>
    <row r="144" spans="4:7" x14ac:dyDescent="0.25">
      <c r="D144" s="1"/>
      <c r="E144" s="1"/>
      <c r="F144" s="1"/>
      <c r="G144" s="1"/>
    </row>
    <row r="145" spans="4:7" x14ac:dyDescent="0.25">
      <c r="D145" s="1"/>
      <c r="E145" s="1"/>
      <c r="F145" s="1"/>
      <c r="G145" s="1"/>
    </row>
    <row r="146" spans="4:7" x14ac:dyDescent="0.25">
      <c r="D146" s="1"/>
      <c r="E146" s="1"/>
      <c r="F146" s="1"/>
      <c r="G146" s="1"/>
    </row>
    <row r="147" spans="4:7" x14ac:dyDescent="0.25">
      <c r="D147" s="1"/>
      <c r="E147" s="1"/>
      <c r="F147" s="1"/>
      <c r="G147" s="1"/>
    </row>
    <row r="148" spans="4:7" x14ac:dyDescent="0.25">
      <c r="D148" s="1"/>
      <c r="E148" s="1"/>
      <c r="F148" s="1"/>
      <c r="G148" s="1"/>
    </row>
    <row r="149" spans="4:7" x14ac:dyDescent="0.25">
      <c r="D149" s="1"/>
      <c r="E149" s="1"/>
      <c r="F149" s="1"/>
      <c r="G149" s="1"/>
    </row>
    <row r="150" spans="4:7" x14ac:dyDescent="0.25">
      <c r="D150" s="1"/>
      <c r="E150" s="1"/>
      <c r="F150" s="1"/>
      <c r="G150" s="1"/>
    </row>
    <row r="151" spans="4:7" x14ac:dyDescent="0.25">
      <c r="D151" s="1"/>
      <c r="E151" s="1"/>
      <c r="F151" s="1"/>
      <c r="G151" s="1"/>
    </row>
    <row r="152" spans="4:7" x14ac:dyDescent="0.25">
      <c r="D152" s="1"/>
      <c r="E152" s="1"/>
      <c r="F152" s="1"/>
      <c r="G152" s="1"/>
    </row>
    <row r="153" spans="4:7" x14ac:dyDescent="0.25">
      <c r="D153" s="1"/>
      <c r="E153" s="1"/>
      <c r="F153" s="1"/>
      <c r="G153" s="1"/>
    </row>
    <row r="154" spans="4:7" x14ac:dyDescent="0.25">
      <c r="D154" s="1"/>
      <c r="E154" s="1"/>
      <c r="F154" s="1"/>
      <c r="G154" s="1"/>
    </row>
    <row r="155" spans="4:7" x14ac:dyDescent="0.25">
      <c r="D155" s="1"/>
      <c r="E155" s="1"/>
      <c r="F155" s="1"/>
      <c r="G155" s="1"/>
    </row>
    <row r="156" spans="4:7" x14ac:dyDescent="0.25">
      <c r="D156" s="1"/>
      <c r="E156" s="1"/>
      <c r="F156" s="1"/>
      <c r="G156" s="1"/>
    </row>
    <row r="157" spans="4:7" x14ac:dyDescent="0.25">
      <c r="D157" s="1"/>
      <c r="E157" s="1"/>
      <c r="F157" s="1"/>
      <c r="G157" s="1"/>
    </row>
    <row r="158" spans="4:7" x14ac:dyDescent="0.25">
      <c r="D158" s="1"/>
      <c r="E158" s="1"/>
      <c r="F158" s="1"/>
      <c r="G158" s="1"/>
    </row>
    <row r="159" spans="4:7" x14ac:dyDescent="0.25">
      <c r="D159" s="1"/>
      <c r="E159" s="1"/>
      <c r="F159" s="1"/>
      <c r="G159" s="1"/>
    </row>
    <row r="160" spans="4:7" x14ac:dyDescent="0.25">
      <c r="D160" s="1"/>
      <c r="E160" s="1"/>
      <c r="F160" s="1"/>
      <c r="G160" s="1"/>
    </row>
    <row r="161" spans="4:7" x14ac:dyDescent="0.25">
      <c r="D161" s="1"/>
      <c r="E161" s="1"/>
      <c r="F161" s="1"/>
      <c r="G161" s="1"/>
    </row>
    <row r="162" spans="4:7" x14ac:dyDescent="0.25">
      <c r="D162" s="1"/>
      <c r="E162" s="1"/>
      <c r="F162" s="1"/>
      <c r="G162" s="1"/>
    </row>
    <row r="163" spans="4:7" x14ac:dyDescent="0.25">
      <c r="D163" s="1"/>
      <c r="E163" s="1"/>
      <c r="F163" s="1"/>
      <c r="G163" s="1"/>
    </row>
    <row r="164" spans="4:7" x14ac:dyDescent="0.25">
      <c r="D164" s="1"/>
      <c r="E164" s="1"/>
      <c r="F164" s="1"/>
      <c r="G164" s="1"/>
    </row>
    <row r="165" spans="4:7" x14ac:dyDescent="0.25">
      <c r="D165" s="1"/>
      <c r="E165" s="1"/>
      <c r="F165" s="1"/>
      <c r="G165" s="1"/>
    </row>
    <row r="166" spans="4:7" x14ac:dyDescent="0.25">
      <c r="D166" s="1"/>
      <c r="E166" s="1"/>
      <c r="F166" s="1"/>
      <c r="G166" s="1"/>
    </row>
    <row r="167" spans="4:7" x14ac:dyDescent="0.25">
      <c r="D167" s="1"/>
      <c r="E167" s="1"/>
      <c r="F167" s="1"/>
      <c r="G167" s="1"/>
    </row>
    <row r="168" spans="4:7" x14ac:dyDescent="0.25">
      <c r="D168" s="1"/>
      <c r="E168" s="1"/>
      <c r="F168" s="1"/>
      <c r="G168" s="1"/>
    </row>
    <row r="169" spans="4:7" x14ac:dyDescent="0.25">
      <c r="D169" s="1"/>
      <c r="E169" s="1"/>
      <c r="F169" s="1"/>
      <c r="G169" s="1"/>
    </row>
    <row r="170" spans="4:7" x14ac:dyDescent="0.25">
      <c r="D170" s="1"/>
      <c r="E170" s="1"/>
      <c r="F170" s="1"/>
      <c r="G170" s="1"/>
    </row>
    <row r="171" spans="4:7" x14ac:dyDescent="0.25">
      <c r="D171" s="1"/>
      <c r="E171" s="1"/>
      <c r="F171" s="1"/>
      <c r="G171" s="1"/>
    </row>
    <row r="172" spans="4:7" x14ac:dyDescent="0.25">
      <c r="D172" s="1"/>
      <c r="E172" s="1"/>
      <c r="F172" s="1"/>
      <c r="G172" s="1"/>
    </row>
    <row r="173" spans="4:7" x14ac:dyDescent="0.25">
      <c r="D173" s="1"/>
      <c r="E173" s="1"/>
      <c r="F173" s="1"/>
      <c r="G173" s="1"/>
    </row>
    <row r="174" spans="4:7" x14ac:dyDescent="0.25">
      <c r="D174" s="1"/>
      <c r="E174" s="1"/>
      <c r="F174" s="1"/>
      <c r="G174" s="1"/>
    </row>
    <row r="175" spans="4:7" x14ac:dyDescent="0.25">
      <c r="D175" s="1"/>
      <c r="E175" s="1"/>
      <c r="F175" s="1"/>
      <c r="G175" s="1"/>
    </row>
    <row r="176" spans="4:7" x14ac:dyDescent="0.25">
      <c r="D176" s="1"/>
      <c r="E176" s="1"/>
      <c r="F176" s="1"/>
      <c r="G176" s="1"/>
    </row>
    <row r="177" spans="4:7" x14ac:dyDescent="0.25">
      <c r="D177" s="1"/>
      <c r="E177" s="1"/>
      <c r="F177" s="1"/>
      <c r="G177" s="1"/>
    </row>
    <row r="178" spans="4:7" x14ac:dyDescent="0.25">
      <c r="D178" s="1"/>
      <c r="E178" s="1"/>
      <c r="F178" s="1"/>
      <c r="G178" s="1"/>
    </row>
    <row r="179" spans="4:7" x14ac:dyDescent="0.25">
      <c r="D179" s="1"/>
      <c r="E179" s="1"/>
      <c r="F179" s="1"/>
      <c r="G179" s="1"/>
    </row>
    <row r="180" spans="4:7" x14ac:dyDescent="0.25">
      <c r="D180" s="1"/>
      <c r="E180" s="1"/>
      <c r="F180" s="1"/>
      <c r="G180" s="1"/>
    </row>
    <row r="181" spans="4:7" x14ac:dyDescent="0.25">
      <c r="D181" s="1"/>
      <c r="E181" s="1"/>
      <c r="F181" s="1"/>
      <c r="G181" s="1"/>
    </row>
    <row r="182" spans="4:7" x14ac:dyDescent="0.25">
      <c r="D182" s="1"/>
      <c r="E182" s="1"/>
      <c r="F182" s="1"/>
      <c r="G182" s="1"/>
    </row>
    <row r="183" spans="4:7" x14ac:dyDescent="0.25">
      <c r="D183" s="1"/>
      <c r="E183" s="1"/>
      <c r="F183" s="1"/>
      <c r="G183" s="1"/>
    </row>
    <row r="184" spans="4:7" x14ac:dyDescent="0.25">
      <c r="D184" s="1"/>
      <c r="E184" s="1"/>
      <c r="F184" s="1"/>
      <c r="G184" s="1"/>
    </row>
    <row r="185" spans="4:7" x14ac:dyDescent="0.25">
      <c r="D185" s="1"/>
      <c r="E185" s="1"/>
      <c r="F185" s="1"/>
      <c r="G185" s="1"/>
    </row>
    <row r="186" spans="4:7" x14ac:dyDescent="0.25">
      <c r="D186" s="1"/>
      <c r="E186" s="1"/>
      <c r="F186" s="1"/>
      <c r="G186" s="1"/>
    </row>
    <row r="187" spans="4:7" x14ac:dyDescent="0.25">
      <c r="D187" s="1"/>
      <c r="E187" s="1"/>
      <c r="F187" s="1"/>
      <c r="G187" s="1"/>
    </row>
    <row r="188" spans="4:7" x14ac:dyDescent="0.25">
      <c r="D188" s="1"/>
      <c r="E188" s="1"/>
      <c r="F188" s="1"/>
      <c r="G188" s="1"/>
    </row>
    <row r="189" spans="4:7" x14ac:dyDescent="0.25">
      <c r="D189" s="1"/>
      <c r="E189" s="1"/>
      <c r="F189" s="1"/>
      <c r="G189" s="1"/>
    </row>
    <row r="190" spans="4:7" x14ac:dyDescent="0.25">
      <c r="D190" s="1"/>
      <c r="E190" s="1"/>
      <c r="F190" s="1"/>
      <c r="G190" s="1"/>
    </row>
    <row r="191" spans="4:7" x14ac:dyDescent="0.25">
      <c r="D191" s="1"/>
      <c r="E191" s="1"/>
      <c r="F191" s="1"/>
      <c r="G191" s="1"/>
    </row>
    <row r="192" spans="4:7" x14ac:dyDescent="0.25">
      <c r="D192" s="1"/>
      <c r="E192" s="1"/>
      <c r="F192" s="1"/>
      <c r="G192" s="1"/>
    </row>
    <row r="193" spans="4:7" x14ac:dyDescent="0.25">
      <c r="D193" s="1"/>
      <c r="E193" s="1"/>
      <c r="F193" s="1"/>
      <c r="G193" s="1"/>
    </row>
    <row r="194" spans="4:7" x14ac:dyDescent="0.25">
      <c r="D194" s="1"/>
      <c r="E194" s="1"/>
      <c r="F194" s="1"/>
      <c r="G194" s="1"/>
    </row>
    <row r="195" spans="4:7" x14ac:dyDescent="0.25">
      <c r="D195" s="1"/>
      <c r="E195" s="1"/>
      <c r="F195" s="1"/>
      <c r="G195" s="1"/>
    </row>
    <row r="196" spans="4:7" x14ac:dyDescent="0.25">
      <c r="D196" s="1"/>
      <c r="E196" s="1"/>
      <c r="F196" s="1"/>
      <c r="G196" s="1"/>
    </row>
    <row r="197" spans="4:7" x14ac:dyDescent="0.25">
      <c r="D197" s="1"/>
      <c r="E197" s="1"/>
      <c r="F197" s="1"/>
      <c r="G197" s="1"/>
    </row>
    <row r="198" spans="4:7" x14ac:dyDescent="0.25">
      <c r="D198" s="1"/>
      <c r="E198" s="1"/>
      <c r="F198" s="1"/>
      <c r="G198" s="1"/>
    </row>
    <row r="199" spans="4:7" x14ac:dyDescent="0.25">
      <c r="D199" s="1"/>
      <c r="E199" s="1"/>
      <c r="F199" s="1"/>
      <c r="G199" s="1"/>
    </row>
    <row r="200" spans="4:7" x14ac:dyDescent="0.25">
      <c r="D200" s="1"/>
      <c r="E200" s="1"/>
      <c r="F200" s="1"/>
      <c r="G200" s="1"/>
    </row>
    <row r="201" spans="4:7" x14ac:dyDescent="0.25">
      <c r="D201" s="1"/>
      <c r="E201" s="1"/>
      <c r="F201" s="1"/>
      <c r="G201" s="1"/>
    </row>
    <row r="202" spans="4:7" x14ac:dyDescent="0.25">
      <c r="D202" s="1"/>
      <c r="E202" s="1"/>
      <c r="F202" s="1"/>
      <c r="G202" s="1"/>
    </row>
    <row r="203" spans="4:7" x14ac:dyDescent="0.25">
      <c r="D203" s="1"/>
      <c r="E203" s="1"/>
      <c r="F203" s="1"/>
      <c r="G203" s="1"/>
    </row>
    <row r="204" spans="4:7" x14ac:dyDescent="0.25">
      <c r="D204" s="1"/>
      <c r="E204" s="1"/>
      <c r="F204" s="1"/>
      <c r="G204" s="1"/>
    </row>
    <row r="205" spans="4:7" x14ac:dyDescent="0.25">
      <c r="D205" s="1"/>
      <c r="E205" s="1"/>
      <c r="F205" s="1"/>
      <c r="G205" s="1"/>
    </row>
    <row r="206" spans="4:7" x14ac:dyDescent="0.25">
      <c r="D206" s="1"/>
      <c r="E206" s="1"/>
      <c r="F206" s="1"/>
      <c r="G206" s="1"/>
    </row>
    <row r="207" spans="4:7" x14ac:dyDescent="0.25">
      <c r="D207" s="1"/>
      <c r="E207" s="1"/>
      <c r="F207" s="1"/>
      <c r="G207" s="1"/>
    </row>
    <row r="208" spans="4:7" x14ac:dyDescent="0.25">
      <c r="D208" s="1"/>
      <c r="E208" s="1"/>
      <c r="F208" s="1"/>
      <c r="G208" s="1"/>
    </row>
    <row r="209" spans="4:7" x14ac:dyDescent="0.25">
      <c r="D209" s="1"/>
      <c r="E209" s="1"/>
      <c r="F209" s="1"/>
      <c r="G209" s="1"/>
    </row>
    <row r="210" spans="4:7" x14ac:dyDescent="0.25">
      <c r="D210" s="1"/>
      <c r="E210" s="1"/>
      <c r="F210" s="1"/>
      <c r="G210" s="1"/>
    </row>
    <row r="211" spans="4:7" x14ac:dyDescent="0.25">
      <c r="D211" s="1"/>
      <c r="E211" s="1"/>
      <c r="F211" s="1"/>
      <c r="G211" s="1"/>
    </row>
    <row r="212" spans="4:7" x14ac:dyDescent="0.25">
      <c r="D212" s="1"/>
      <c r="E212" s="1"/>
      <c r="F212" s="1"/>
      <c r="G212" s="1"/>
    </row>
    <row r="213" spans="4:7" x14ac:dyDescent="0.25">
      <c r="D213" s="1"/>
      <c r="E213" s="1"/>
      <c r="F213" s="1"/>
      <c r="G213" s="1"/>
    </row>
    <row r="214" spans="4:7" x14ac:dyDescent="0.25">
      <c r="D214" s="1"/>
      <c r="E214" s="1"/>
      <c r="F214" s="1"/>
      <c r="G214" s="1"/>
    </row>
    <row r="215" spans="4:7" x14ac:dyDescent="0.25">
      <c r="D215" s="1"/>
      <c r="E215" s="1"/>
      <c r="F215" s="1"/>
      <c r="G215" s="1"/>
    </row>
    <row r="216" spans="4:7" x14ac:dyDescent="0.25">
      <c r="D216" s="1"/>
      <c r="E216" s="1"/>
      <c r="F216" s="1"/>
      <c r="G216" s="1"/>
    </row>
    <row r="217" spans="4:7" x14ac:dyDescent="0.25">
      <c r="D217" s="1"/>
      <c r="E217" s="1"/>
      <c r="F217" s="1"/>
      <c r="G217" s="1"/>
    </row>
    <row r="218" spans="4:7" x14ac:dyDescent="0.25">
      <c r="D218" s="1"/>
      <c r="E218" s="1"/>
      <c r="F218" s="1"/>
      <c r="G218" s="1"/>
    </row>
    <row r="219" spans="4:7" x14ac:dyDescent="0.25">
      <c r="D219" s="1"/>
      <c r="E219" s="1"/>
      <c r="F219" s="1"/>
      <c r="G219" s="1"/>
    </row>
    <row r="220" spans="4:7" x14ac:dyDescent="0.25">
      <c r="D220" s="1"/>
      <c r="E220" s="1"/>
      <c r="F220" s="1"/>
      <c r="G220" s="1"/>
    </row>
    <row r="221" spans="4:7" x14ac:dyDescent="0.25">
      <c r="D221" s="1"/>
      <c r="E221" s="1"/>
      <c r="F221" s="1"/>
      <c r="G221" s="1"/>
    </row>
    <row r="222" spans="4:7" x14ac:dyDescent="0.25">
      <c r="D222" s="1"/>
      <c r="E222" s="1"/>
      <c r="F222" s="1"/>
      <c r="G222" s="1"/>
    </row>
    <row r="223" spans="4:7" x14ac:dyDescent="0.25">
      <c r="D223" s="1"/>
      <c r="E223" s="1"/>
      <c r="F223" s="1"/>
      <c r="G223" s="1"/>
    </row>
    <row r="224" spans="4:7" x14ac:dyDescent="0.25">
      <c r="D224" s="1"/>
      <c r="E224" s="1"/>
      <c r="F224" s="1"/>
      <c r="G224" s="1"/>
    </row>
    <row r="225" spans="4:7" x14ac:dyDescent="0.25">
      <c r="D225" s="1"/>
      <c r="E225" s="1"/>
      <c r="F225" s="1"/>
      <c r="G225" s="1"/>
    </row>
    <row r="226" spans="4:7" x14ac:dyDescent="0.25">
      <c r="D226" s="1"/>
      <c r="E226" s="1"/>
      <c r="F226" s="1"/>
      <c r="G226" s="1"/>
    </row>
    <row r="227" spans="4:7" x14ac:dyDescent="0.25">
      <c r="D227" s="1"/>
      <c r="E227" s="1"/>
      <c r="F227" s="1"/>
      <c r="G227" s="1"/>
    </row>
    <row r="228" spans="4:7" x14ac:dyDescent="0.25">
      <c r="D228" s="1"/>
      <c r="E228" s="1"/>
      <c r="F228" s="1"/>
      <c r="G228" s="1"/>
    </row>
    <row r="229" spans="4:7" x14ac:dyDescent="0.25">
      <c r="D229" s="1"/>
      <c r="E229" s="1"/>
      <c r="F229" s="1"/>
      <c r="G229" s="1"/>
    </row>
    <row r="230" spans="4:7" x14ac:dyDescent="0.25">
      <c r="D230" s="1"/>
      <c r="E230" s="1"/>
      <c r="F230" s="1"/>
      <c r="G230" s="1"/>
    </row>
    <row r="231" spans="4:7" x14ac:dyDescent="0.25">
      <c r="D231" s="1"/>
      <c r="E231" s="1"/>
      <c r="F231" s="1"/>
      <c r="G231" s="1"/>
    </row>
    <row r="232" spans="4:7" x14ac:dyDescent="0.25">
      <c r="D232" s="1"/>
      <c r="E232" s="1"/>
      <c r="F232" s="1"/>
      <c r="G232" s="1"/>
    </row>
    <row r="233" spans="4:7" x14ac:dyDescent="0.25">
      <c r="D233" s="1"/>
      <c r="E233" s="1"/>
      <c r="F233" s="1"/>
      <c r="G233" s="1"/>
    </row>
    <row r="234" spans="4:7" x14ac:dyDescent="0.25">
      <c r="D234" s="1"/>
      <c r="E234" s="1"/>
      <c r="F234" s="1"/>
      <c r="G234" s="1"/>
    </row>
    <row r="235" spans="4:7" x14ac:dyDescent="0.25">
      <c r="D235" s="1"/>
      <c r="E235" s="1"/>
      <c r="F235" s="1"/>
      <c r="G235" s="1"/>
    </row>
    <row r="236" spans="4:7" x14ac:dyDescent="0.25">
      <c r="D236" s="1"/>
      <c r="E236" s="1"/>
      <c r="F236" s="1"/>
      <c r="G236" s="1"/>
    </row>
    <row r="237" spans="4:7" x14ac:dyDescent="0.25">
      <c r="D237" s="1"/>
      <c r="E237" s="1"/>
      <c r="F237" s="1"/>
      <c r="G237" s="1"/>
    </row>
    <row r="238" spans="4:7" x14ac:dyDescent="0.25">
      <c r="D238" s="1"/>
      <c r="E238" s="1"/>
      <c r="F238" s="1"/>
      <c r="G238" s="1"/>
    </row>
    <row r="239" spans="4:7" x14ac:dyDescent="0.25">
      <c r="D239" s="1"/>
      <c r="E239" s="1"/>
      <c r="F239" s="1"/>
      <c r="G239" s="1"/>
    </row>
    <row r="240" spans="4:7" x14ac:dyDescent="0.25">
      <c r="D240" s="1"/>
      <c r="E240" s="1"/>
      <c r="F240" s="1"/>
      <c r="G240" s="1"/>
    </row>
    <row r="241" spans="4:7" x14ac:dyDescent="0.25">
      <c r="D241" s="1"/>
      <c r="E241" s="1"/>
      <c r="F241" s="1"/>
      <c r="G241" s="1"/>
    </row>
    <row r="242" spans="4:7" x14ac:dyDescent="0.25">
      <c r="D242" s="1"/>
      <c r="E242" s="1"/>
      <c r="F242" s="1"/>
      <c r="G242" s="1"/>
    </row>
    <row r="243" spans="4:7" x14ac:dyDescent="0.25">
      <c r="D243" s="1"/>
      <c r="E243" s="1"/>
      <c r="F243" s="1"/>
      <c r="G243" s="1"/>
    </row>
    <row r="244" spans="4:7" x14ac:dyDescent="0.25">
      <c r="D244" s="1"/>
      <c r="E244" s="1"/>
      <c r="F244" s="1"/>
      <c r="G244" s="1"/>
    </row>
    <row r="245" spans="4:7" x14ac:dyDescent="0.25">
      <c r="D245" s="1"/>
      <c r="E245" s="1"/>
      <c r="F245" s="1"/>
      <c r="G245" s="1"/>
    </row>
    <row r="246" spans="4:7" x14ac:dyDescent="0.25">
      <c r="D246" s="1"/>
      <c r="E246" s="1"/>
      <c r="F246" s="1"/>
      <c r="G246" s="1"/>
    </row>
    <row r="247" spans="4:7" x14ac:dyDescent="0.25">
      <c r="D247" s="1"/>
      <c r="E247" s="1"/>
      <c r="F247" s="1"/>
      <c r="G247" s="1"/>
    </row>
    <row r="248" spans="4:7" x14ac:dyDescent="0.25">
      <c r="D248" s="1"/>
      <c r="E248" s="1"/>
      <c r="F248" s="1"/>
      <c r="G248" s="1"/>
    </row>
    <row r="249" spans="4:7" x14ac:dyDescent="0.25">
      <c r="D249" s="1"/>
      <c r="E249" s="1"/>
      <c r="F249" s="1"/>
      <c r="G249" s="1"/>
    </row>
    <row r="250" spans="4:7" x14ac:dyDescent="0.25">
      <c r="D250" s="1"/>
      <c r="E250" s="1"/>
      <c r="F250" s="1"/>
      <c r="G250" s="1"/>
    </row>
    <row r="251" spans="4:7" x14ac:dyDescent="0.25">
      <c r="D251" s="1"/>
      <c r="E251" s="1"/>
      <c r="F251" s="1"/>
      <c r="G251" s="1"/>
    </row>
    <row r="252" spans="4:7" x14ac:dyDescent="0.25">
      <c r="D252" s="1"/>
      <c r="E252" s="1"/>
      <c r="F252" s="1"/>
      <c r="G252" s="1"/>
    </row>
    <row r="253" spans="4:7" x14ac:dyDescent="0.25">
      <c r="D253" s="1"/>
      <c r="E253" s="1"/>
      <c r="F253" s="1"/>
      <c r="G253" s="1"/>
    </row>
    <row r="254" spans="4:7" x14ac:dyDescent="0.25">
      <c r="D254" s="1"/>
      <c r="E254" s="1"/>
      <c r="F254" s="1"/>
      <c r="G254" s="1"/>
    </row>
    <row r="255" spans="4:7" x14ac:dyDescent="0.25">
      <c r="D255" s="1"/>
      <c r="E255" s="1"/>
      <c r="F255" s="1"/>
      <c r="G255" s="1"/>
    </row>
    <row r="256" spans="4:7" x14ac:dyDescent="0.25">
      <c r="D256" s="1"/>
      <c r="E256" s="1"/>
      <c r="F256" s="1"/>
      <c r="G256" s="1"/>
    </row>
    <row r="257" spans="4:7" x14ac:dyDescent="0.25">
      <c r="D257" s="1"/>
      <c r="E257" s="1"/>
      <c r="F257" s="1"/>
      <c r="G257" s="1"/>
    </row>
    <row r="258" spans="4:7" x14ac:dyDescent="0.25">
      <c r="D258" s="1"/>
      <c r="E258" s="1"/>
      <c r="F258" s="1"/>
      <c r="G258" s="1"/>
    </row>
    <row r="259" spans="4:7" x14ac:dyDescent="0.25">
      <c r="D259" s="1"/>
      <c r="E259" s="1"/>
      <c r="F259" s="1"/>
      <c r="G259" s="1"/>
    </row>
    <row r="260" spans="4:7" x14ac:dyDescent="0.25">
      <c r="D260" s="1"/>
      <c r="E260" s="1"/>
      <c r="F260" s="1"/>
      <c r="G260" s="1"/>
    </row>
    <row r="261" spans="4:7" x14ac:dyDescent="0.25">
      <c r="D261" s="1"/>
      <c r="E261" s="1"/>
      <c r="F261" s="1"/>
      <c r="G261" s="1"/>
    </row>
    <row r="262" spans="4:7" x14ac:dyDescent="0.25">
      <c r="D262" s="1"/>
      <c r="E262" s="1"/>
      <c r="F262" s="1"/>
      <c r="G262" s="1"/>
    </row>
    <row r="263" spans="4:7" x14ac:dyDescent="0.25">
      <c r="D263" s="1"/>
      <c r="E263" s="1"/>
      <c r="F263" s="1"/>
      <c r="G263" s="1"/>
    </row>
    <row r="264" spans="4:7" x14ac:dyDescent="0.25">
      <c r="D264" s="1"/>
      <c r="E264" s="1"/>
      <c r="F264" s="1"/>
      <c r="G264" s="1"/>
    </row>
    <row r="265" spans="4:7" x14ac:dyDescent="0.25">
      <c r="D265" s="1"/>
      <c r="E265" s="1"/>
      <c r="F265" s="1"/>
      <c r="G265" s="1"/>
    </row>
    <row r="266" spans="4:7" x14ac:dyDescent="0.25">
      <c r="D266" s="1"/>
      <c r="E266" s="1"/>
      <c r="F266" s="1"/>
      <c r="G266" s="1"/>
    </row>
    <row r="267" spans="4:7" x14ac:dyDescent="0.25">
      <c r="D267" s="1"/>
      <c r="E267" s="1"/>
      <c r="F267" s="1"/>
      <c r="G267" s="1"/>
    </row>
    <row r="268" spans="4:7" x14ac:dyDescent="0.25">
      <c r="D268" s="1"/>
      <c r="E268" s="1"/>
      <c r="F268" s="1"/>
      <c r="G268" s="1"/>
    </row>
    <row r="269" spans="4:7" x14ac:dyDescent="0.25">
      <c r="D269" s="1"/>
      <c r="E269" s="1"/>
      <c r="F269" s="1"/>
      <c r="G269" s="1"/>
    </row>
    <row r="270" spans="4:7" x14ac:dyDescent="0.25">
      <c r="D270" s="1"/>
      <c r="E270" s="1"/>
      <c r="F270" s="1"/>
      <c r="G270" s="1"/>
    </row>
    <row r="271" spans="4:7" x14ac:dyDescent="0.25">
      <c r="D271" s="1"/>
      <c r="E271" s="1"/>
      <c r="F271" s="1"/>
      <c r="G271" s="1"/>
    </row>
    <row r="272" spans="4:7" x14ac:dyDescent="0.25">
      <c r="D272" s="1"/>
      <c r="E272" s="1"/>
      <c r="F272" s="1"/>
      <c r="G272" s="1"/>
    </row>
    <row r="273" spans="4:7" x14ac:dyDescent="0.25">
      <c r="D273" s="1"/>
      <c r="E273" s="1"/>
      <c r="F273" s="1"/>
      <c r="G273" s="1"/>
    </row>
    <row r="274" spans="4:7" x14ac:dyDescent="0.25">
      <c r="D274" s="1"/>
      <c r="E274" s="1"/>
      <c r="F274" s="1"/>
      <c r="G274" s="1"/>
    </row>
    <row r="275" spans="4:7" x14ac:dyDescent="0.25">
      <c r="D275" s="1"/>
      <c r="E275" s="1"/>
      <c r="F275" s="1"/>
      <c r="G275" s="1"/>
    </row>
    <row r="276" spans="4:7" x14ac:dyDescent="0.25">
      <c r="D276" s="1"/>
      <c r="E276" s="1"/>
      <c r="F276" s="1"/>
      <c r="G276" s="1"/>
    </row>
    <row r="277" spans="4:7" x14ac:dyDescent="0.25">
      <c r="D277" s="1"/>
      <c r="E277" s="1"/>
      <c r="F277" s="1"/>
      <c r="G277" s="1"/>
    </row>
    <row r="278" spans="4:7" x14ac:dyDescent="0.25">
      <c r="D278" s="1"/>
      <c r="E278" s="1"/>
      <c r="F278" s="1"/>
      <c r="G278" s="1"/>
    </row>
    <row r="279" spans="4:7" x14ac:dyDescent="0.25">
      <c r="D279" s="1"/>
      <c r="E279" s="1"/>
      <c r="F279" s="1"/>
      <c r="G279" s="1"/>
    </row>
    <row r="280" spans="4:7" x14ac:dyDescent="0.25">
      <c r="D280" s="1"/>
      <c r="E280" s="1"/>
      <c r="F280" s="1"/>
      <c r="G280" s="1"/>
    </row>
    <row r="281" spans="4:7" x14ac:dyDescent="0.25">
      <c r="D281" s="1"/>
      <c r="E281" s="1"/>
      <c r="F281" s="1"/>
      <c r="G281" s="1"/>
    </row>
    <row r="282" spans="4:7" x14ac:dyDescent="0.25">
      <c r="D282" s="1"/>
      <c r="E282" s="1"/>
      <c r="F282" s="1"/>
      <c r="G282" s="1"/>
    </row>
    <row r="283" spans="4:7" x14ac:dyDescent="0.25">
      <c r="D283" s="1"/>
      <c r="E283" s="1"/>
      <c r="F283" s="1"/>
      <c r="G283" s="1"/>
    </row>
    <row r="284" spans="4:7" x14ac:dyDescent="0.25">
      <c r="D284" s="1"/>
      <c r="E284" s="1"/>
      <c r="F284" s="1"/>
      <c r="G284" s="1"/>
    </row>
    <row r="285" spans="4:7" x14ac:dyDescent="0.25">
      <c r="D285" s="1"/>
      <c r="E285" s="1"/>
      <c r="F285" s="1"/>
      <c r="G285" s="1"/>
    </row>
    <row r="286" spans="4:7" x14ac:dyDescent="0.25">
      <c r="D286" s="1"/>
      <c r="E286" s="1"/>
      <c r="F286" s="1"/>
      <c r="G286" s="1"/>
    </row>
    <row r="287" spans="4:7" x14ac:dyDescent="0.25">
      <c r="D287" s="1"/>
      <c r="E287" s="1"/>
      <c r="F287" s="1"/>
      <c r="G287" s="1"/>
    </row>
    <row r="288" spans="4:7" x14ac:dyDescent="0.25">
      <c r="D288" s="1"/>
      <c r="E288" s="1"/>
      <c r="F288" s="1"/>
      <c r="G288" s="1"/>
    </row>
    <row r="289" spans="4:7" x14ac:dyDescent="0.25">
      <c r="D289" s="1"/>
      <c r="E289" s="1"/>
      <c r="F289" s="1"/>
      <c r="G289" s="1"/>
    </row>
    <row r="290" spans="4:7" x14ac:dyDescent="0.25">
      <c r="D290" s="1"/>
      <c r="E290" s="1"/>
      <c r="F290" s="1"/>
      <c r="G290" s="1"/>
    </row>
    <row r="291" spans="4:7" x14ac:dyDescent="0.25">
      <c r="D291" s="1"/>
      <c r="E291" s="1"/>
      <c r="F291" s="1"/>
      <c r="G291" s="1"/>
    </row>
    <row r="292" spans="4:7" x14ac:dyDescent="0.25">
      <c r="D292" s="1"/>
      <c r="E292" s="1"/>
      <c r="F292" s="1"/>
      <c r="G292" s="1"/>
    </row>
    <row r="293" spans="4:7" x14ac:dyDescent="0.25">
      <c r="D293" s="1"/>
      <c r="E293" s="1"/>
      <c r="F293" s="1"/>
      <c r="G293" s="1"/>
    </row>
    <row r="294" spans="4:7" x14ac:dyDescent="0.25">
      <c r="D294" s="1"/>
      <c r="E294" s="1"/>
      <c r="F294" s="1"/>
      <c r="G294" s="1"/>
    </row>
    <row r="295" spans="4:7" x14ac:dyDescent="0.25">
      <c r="D295" s="1"/>
      <c r="E295" s="1"/>
      <c r="F295" s="1"/>
      <c r="G295" s="1"/>
    </row>
    <row r="296" spans="4:7" x14ac:dyDescent="0.25">
      <c r="D296" s="1"/>
      <c r="E296" s="1"/>
      <c r="F296" s="1"/>
      <c r="G296" s="1"/>
    </row>
    <row r="297" spans="4:7" x14ac:dyDescent="0.25">
      <c r="D297" s="1"/>
      <c r="E297" s="1"/>
      <c r="F297" s="1"/>
      <c r="G297" s="1"/>
    </row>
    <row r="298" spans="4:7" x14ac:dyDescent="0.25">
      <c r="D298" s="1"/>
      <c r="E298" s="1"/>
      <c r="F298" s="1"/>
      <c r="G298" s="1"/>
    </row>
    <row r="299" spans="4:7" x14ac:dyDescent="0.25">
      <c r="D299" s="1"/>
      <c r="E299" s="1"/>
      <c r="F299" s="1"/>
      <c r="G299" s="1"/>
    </row>
    <row r="300" spans="4:7" x14ac:dyDescent="0.25">
      <c r="D300" s="1"/>
      <c r="E300" s="1"/>
      <c r="F300" s="1"/>
      <c r="G300" s="1"/>
    </row>
    <row r="301" spans="4:7" x14ac:dyDescent="0.25">
      <c r="D301" s="1"/>
      <c r="E301" s="1"/>
      <c r="F301" s="1"/>
      <c r="G301" s="1"/>
    </row>
    <row r="302" spans="4:7" x14ac:dyDescent="0.25">
      <c r="D302" s="1"/>
      <c r="E302" s="1"/>
      <c r="F302" s="1"/>
      <c r="G302" s="1"/>
    </row>
    <row r="303" spans="4:7" x14ac:dyDescent="0.25">
      <c r="D303" s="1"/>
      <c r="E303" s="1"/>
      <c r="F303" s="1"/>
      <c r="G303" s="1"/>
    </row>
    <row r="304" spans="4:7" x14ac:dyDescent="0.25">
      <c r="D304" s="1"/>
      <c r="E304" s="1"/>
      <c r="F304" s="1"/>
      <c r="G304" s="1"/>
    </row>
    <row r="305" spans="4:7" x14ac:dyDescent="0.25">
      <c r="D305" s="1"/>
      <c r="E305" s="1"/>
      <c r="F305" s="1"/>
      <c r="G305" s="1"/>
    </row>
    <row r="306" spans="4:7" x14ac:dyDescent="0.25">
      <c r="D306" s="1"/>
      <c r="E306" s="1"/>
      <c r="F306" s="1"/>
      <c r="G306" s="1"/>
    </row>
    <row r="307" spans="4:7" x14ac:dyDescent="0.25">
      <c r="D307" s="1"/>
      <c r="E307" s="1"/>
      <c r="F307" s="1"/>
      <c r="G307" s="1"/>
    </row>
    <row r="308" spans="4:7" x14ac:dyDescent="0.25">
      <c r="D308" s="1"/>
      <c r="E308" s="1"/>
      <c r="F308" s="1"/>
      <c r="G308" s="1"/>
    </row>
    <row r="309" spans="4:7" x14ac:dyDescent="0.25">
      <c r="D309" s="1"/>
      <c r="E309" s="1"/>
      <c r="F309" s="1"/>
      <c r="G309" s="1"/>
    </row>
    <row r="310" spans="4:7" x14ac:dyDescent="0.25">
      <c r="D310" s="1"/>
      <c r="E310" s="1"/>
      <c r="F310" s="1"/>
      <c r="G310" s="1"/>
    </row>
    <row r="311" spans="4:7" x14ac:dyDescent="0.25">
      <c r="D311" s="1"/>
      <c r="E311" s="1"/>
      <c r="F311" s="1"/>
      <c r="G311" s="1"/>
    </row>
    <row r="312" spans="4:7" x14ac:dyDescent="0.25">
      <c r="D312" s="1"/>
      <c r="E312" s="1"/>
      <c r="F312" s="1"/>
      <c r="G312" s="1"/>
    </row>
    <row r="313" spans="4:7" x14ac:dyDescent="0.25">
      <c r="D313" s="1"/>
      <c r="E313" s="1"/>
      <c r="F313" s="1"/>
      <c r="G313" s="1"/>
    </row>
    <row r="314" spans="4:7" x14ac:dyDescent="0.25">
      <c r="D314" s="1"/>
      <c r="E314" s="1"/>
      <c r="F314" s="1"/>
      <c r="G314" s="1"/>
    </row>
    <row r="315" spans="4:7" x14ac:dyDescent="0.25">
      <c r="D315" s="1"/>
      <c r="E315" s="1"/>
      <c r="F315" s="1"/>
      <c r="G315" s="1"/>
    </row>
    <row r="316" spans="4:7" x14ac:dyDescent="0.25">
      <c r="D316" s="1"/>
      <c r="E316" s="1"/>
      <c r="F316" s="1"/>
      <c r="G316" s="1"/>
    </row>
    <row r="317" spans="4:7" x14ac:dyDescent="0.25">
      <c r="D317" s="1"/>
      <c r="E317" s="1"/>
      <c r="F317" s="1"/>
      <c r="G317" s="1"/>
    </row>
    <row r="318" spans="4:7" x14ac:dyDescent="0.25">
      <c r="D318" s="1"/>
      <c r="E318" s="1"/>
      <c r="F318" s="1"/>
      <c r="G318" s="1"/>
    </row>
    <row r="319" spans="4:7" x14ac:dyDescent="0.25">
      <c r="D319" s="1"/>
      <c r="E319" s="1"/>
      <c r="F319" s="1"/>
      <c r="G319" s="1"/>
    </row>
    <row r="320" spans="4:7" x14ac:dyDescent="0.25">
      <c r="D320" s="1"/>
      <c r="E320" s="1"/>
      <c r="F320" s="1"/>
      <c r="G320" s="1"/>
    </row>
    <row r="321" spans="4:7" x14ac:dyDescent="0.25">
      <c r="D321" s="1"/>
      <c r="E321" s="1"/>
      <c r="F321" s="1"/>
      <c r="G321" s="1"/>
    </row>
  </sheetData>
  <dataValidations count="3">
    <dataValidation type="list" allowBlank="1" showInputMessage="1" showErrorMessage="1" sqref="H2:L52" xr:uid="{2EC5B336-9BCB-423C-B644-885097E978F9}">
      <formula1>$AM$2:$AM$6</formula1>
    </dataValidation>
    <dataValidation type="list" allowBlank="1" showInputMessage="1" showErrorMessage="1" sqref="M2:M52" xr:uid="{E52CD5D4-D21E-4343-903F-FBEA4A187E0E}">
      <formula1>$AP$3:$AP$12</formula1>
    </dataValidation>
    <dataValidation type="list" allowBlank="1" showInputMessage="1" showErrorMessage="1" sqref="N2:N52" xr:uid="{EF96EB17-3EE7-4B5A-A0CF-5D2402A04857}">
      <formula1>$AR$3:$AR$7</formula1>
    </dataValidation>
  </dataValidations>
  <hyperlinks>
    <hyperlink ref="G2" r:id="rId1" xr:uid="{9D7932AC-3A17-4F4C-8DA3-7B769FF89D88}"/>
    <hyperlink ref="G47" r:id="rId2" xr:uid="{13544C53-BA4B-4657-9309-77FC67CF9150}"/>
    <hyperlink ref="G46" r:id="rId3" xr:uid="{EF6A5F68-1DDA-490A-B0B6-74EB5DC66339}"/>
    <hyperlink ref="G45" r:id="rId4" xr:uid="{E16EBF8A-0FE3-4999-AC54-81C4221B8073}"/>
    <hyperlink ref="G44" r:id="rId5" xr:uid="{61AA5C9D-2A69-4A5C-9D72-97069CE5D2C6}"/>
    <hyperlink ref="G43" r:id="rId6" xr:uid="{CC11496B-8A2D-4916-B0FE-95B0131BB026}"/>
    <hyperlink ref="G42" r:id="rId7" xr:uid="{3B075D8D-5B49-416A-BDA0-B1928C87099F}"/>
    <hyperlink ref="G41" r:id="rId8" xr:uid="{7DF447DC-F27D-4FF0-842A-9983A17948B3}"/>
    <hyperlink ref="G40" r:id="rId9" xr:uid="{76F6E20A-6FA4-4205-86CB-1CB4AE232B4A}"/>
    <hyperlink ref="G39" r:id="rId10" xr:uid="{B5A488D0-5F85-4271-8BEB-FF6C235BB506}"/>
    <hyperlink ref="G38" r:id="rId11" xr:uid="{BFDEE184-2E01-40A4-A67D-E35540ABD7DB}"/>
    <hyperlink ref="G37" r:id="rId12" xr:uid="{8879363A-6BFE-49B5-8292-1A5FA346BE47}"/>
    <hyperlink ref="G36" r:id="rId13" xr:uid="{3CD09370-2506-48A1-B6AE-6E038B216474}"/>
    <hyperlink ref="G35" r:id="rId14" xr:uid="{59D33872-ECB8-4510-9307-59E1C2A1048A}"/>
    <hyperlink ref="G34" r:id="rId15" xr:uid="{DCF0DAAE-773B-4719-BBFA-6927475416BA}"/>
    <hyperlink ref="G33" r:id="rId16" xr:uid="{FDFCDEC7-2A81-4198-92A4-B7A120636C42}"/>
    <hyperlink ref="G32" r:id="rId17" xr:uid="{A05CF33B-CFA3-4348-9939-5D56D1125F31}"/>
    <hyperlink ref="G31" r:id="rId18" xr:uid="{456FB381-8438-4D3A-9F93-0EF7D9EB8004}"/>
    <hyperlink ref="G30" r:id="rId19" xr:uid="{F468F942-6257-4B84-A672-955752E40491}"/>
    <hyperlink ref="G29" r:id="rId20" xr:uid="{CBD04009-87C7-4B97-A00E-4D82EE55301A}"/>
    <hyperlink ref="G28" r:id="rId21" xr:uid="{D23FB9A6-6829-41DA-9005-BDAF760ED786}"/>
    <hyperlink ref="G27" r:id="rId22" xr:uid="{3A5A79AD-F862-4579-9A26-D6BBAE43E518}"/>
    <hyperlink ref="G26" r:id="rId23" xr:uid="{7765CCF2-41EB-422C-A106-7338140E9D15}"/>
    <hyperlink ref="G25" r:id="rId24" xr:uid="{9B4A75AB-1DDA-4CB8-A572-F7C55FB918D7}"/>
    <hyperlink ref="G24" r:id="rId25" xr:uid="{2299F248-6BE8-4AB0-B909-87DA350FE485}"/>
    <hyperlink ref="G23" r:id="rId26" xr:uid="{CF35DE7A-4569-4E2F-9184-99D81BB5C18C}"/>
    <hyperlink ref="G22" r:id="rId27" xr:uid="{39E02568-287C-4FDD-BA79-CD3F08B307C7}"/>
    <hyperlink ref="G20" r:id="rId28" xr:uid="{ED00C726-4FC3-4C04-847F-6934874B69BF}"/>
    <hyperlink ref="G19" r:id="rId29" xr:uid="{EE356D98-4E78-4BB1-B319-D9B5AEFE8687}"/>
    <hyperlink ref="G17" r:id="rId30" xr:uid="{4962380C-3679-4464-9224-DCEA8346D440}"/>
    <hyperlink ref="G16" r:id="rId31" xr:uid="{7242CAD0-5C9A-4C28-A36F-502621085210}"/>
    <hyperlink ref="G15" r:id="rId32" xr:uid="{7C3182B1-FF58-41AF-AF83-BBDAB8962C84}"/>
    <hyperlink ref="G14" r:id="rId33" xr:uid="{385C9089-D9A5-4830-8D59-98B070E7314F}"/>
    <hyperlink ref="G13" r:id="rId34" xr:uid="{5486C120-11A1-417B-832F-FCC700C1A2D4}"/>
    <hyperlink ref="G12" r:id="rId35" xr:uid="{BDB09246-95BB-4ECF-A092-DB77301B7799}"/>
    <hyperlink ref="G11" r:id="rId36" xr:uid="{1F283B05-4A2F-43EC-84DF-172BA5994337}"/>
    <hyperlink ref="G10" r:id="rId37" xr:uid="{CB781049-86FA-4FD1-844D-80C7A10AF150}"/>
    <hyperlink ref="G9" r:id="rId38" xr:uid="{0A6D87BD-890B-456F-8CED-5AE251D2F17A}"/>
    <hyperlink ref="G8" r:id="rId39" xr:uid="{CEDD62E0-EDC9-4F83-81CD-5AA4DA26844E}"/>
    <hyperlink ref="G7" r:id="rId40" xr:uid="{F6478987-5492-41E5-A65F-746504FD5A0B}"/>
    <hyperlink ref="G6" r:id="rId41" xr:uid="{642DC26F-8E9A-43F3-8718-B985EDE30B79}"/>
    <hyperlink ref="G5" r:id="rId42" xr:uid="{CE3A8703-F881-435F-8B10-49A1D86372E4}"/>
    <hyperlink ref="G4" r:id="rId43" xr:uid="{B1685EB1-08D9-4965-A96C-9EEECC2802D3}"/>
    <hyperlink ref="G3" r:id="rId44" xr:uid="{9547591A-19A2-4F6E-9002-3B36BD476034}"/>
    <hyperlink ref="G18" r:id="rId45" xr:uid="{6D839000-1AF1-4306-A875-3EB7563F3D5F}"/>
    <hyperlink ref="G21" r:id="rId46" xr:uid="{C11622FC-DAB8-4212-81F8-6AC76CDBF6D2}"/>
    <hyperlink ref="G48" r:id="rId47" xr:uid="{60F21EA8-A3EE-418A-BC33-238F8EECC12F}"/>
    <hyperlink ref="G49" r:id="rId48" xr:uid="{2D294948-E079-47CD-A251-C682052F2F5E}"/>
    <hyperlink ref="G50" r:id="rId49" tooltip="mailto:adhithya.rajan@here.com" display="mailto:adhithya.rajan@here.com" xr:uid="{58AF9683-575B-4778-B271-20B78ED7EDEA}"/>
    <hyperlink ref="G51" r:id="rId50" tooltip="mailto:katherine.aanensen@here.com" display="mailto:katherine.aanensen@here.com" xr:uid="{3DE262A6-08A4-4F22-BCC3-805B60927A23}"/>
    <hyperlink ref="G52" r:id="rId51" tooltip="mailto:brandon.ludwig@here.com" display="mailto:brandon.ludwig@here.com" xr:uid="{9669D5AB-1977-484B-A646-909B4E5500B8}"/>
  </hyperlinks>
  <pageMargins left="0.7" right="0.7" top="0.75" bottom="0.75" header="0.3" footer="0.3"/>
  <pageSetup orientation="portrait" horizontalDpi="90" verticalDpi="90" r:id="rId52"/>
  <tableParts count="2">
    <tablePart r:id="rId53"/>
    <tablePart r:id="rId5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66678-D91A-4F7C-A13B-88763FAF7D38}">
  <dimension ref="A3:B18"/>
  <sheetViews>
    <sheetView workbookViewId="0">
      <selection activeCell="I22" sqref="I22"/>
    </sheetView>
  </sheetViews>
  <sheetFormatPr defaultRowHeight="15" x14ac:dyDescent="0.25"/>
  <cols>
    <col min="1" max="1" width="17.7109375" bestFit="1" customWidth="1"/>
    <col min="2" max="2" width="33.85546875" bestFit="1" customWidth="1"/>
  </cols>
  <sheetData>
    <row r="3" spans="1:2" x14ac:dyDescent="0.25">
      <c r="A3" s="7" t="s">
        <v>133</v>
      </c>
      <c r="B3" t="s">
        <v>200</v>
      </c>
    </row>
    <row r="4" spans="1:2" x14ac:dyDescent="0.25">
      <c r="A4" s="8" t="s">
        <v>66</v>
      </c>
      <c r="B4" s="9">
        <v>1</v>
      </c>
    </row>
    <row r="5" spans="1:2" x14ac:dyDescent="0.25">
      <c r="A5" s="8" t="s">
        <v>87</v>
      </c>
      <c r="B5" s="9">
        <v>1</v>
      </c>
    </row>
    <row r="6" spans="1:2" x14ac:dyDescent="0.25">
      <c r="A6" s="8" t="s">
        <v>35</v>
      </c>
      <c r="B6" s="9">
        <v>1</v>
      </c>
    </row>
    <row r="7" spans="1:2" x14ac:dyDescent="0.25">
      <c r="A7" s="8" t="s">
        <v>1</v>
      </c>
      <c r="B7" s="9">
        <v>1</v>
      </c>
    </row>
    <row r="8" spans="1:2" x14ac:dyDescent="0.25">
      <c r="A8" s="8" t="s">
        <v>18</v>
      </c>
      <c r="B8" s="9">
        <v>1</v>
      </c>
    </row>
    <row r="9" spans="1:2" x14ac:dyDescent="0.25">
      <c r="A9" s="8" t="s">
        <v>111</v>
      </c>
      <c r="B9" s="9">
        <v>1</v>
      </c>
    </row>
    <row r="10" spans="1:2" x14ac:dyDescent="0.25">
      <c r="A10" s="8" t="s">
        <v>56</v>
      </c>
      <c r="B10" s="9">
        <v>1</v>
      </c>
    </row>
    <row r="11" spans="1:2" x14ac:dyDescent="0.25">
      <c r="A11" s="8" t="s">
        <v>103</v>
      </c>
      <c r="B11" s="9">
        <v>1</v>
      </c>
    </row>
    <row r="12" spans="1:2" x14ac:dyDescent="0.25">
      <c r="A12" s="8" t="s">
        <v>81</v>
      </c>
      <c r="B12" s="9">
        <v>1</v>
      </c>
    </row>
    <row r="13" spans="1:2" x14ac:dyDescent="0.25">
      <c r="A13" s="8" t="s">
        <v>119</v>
      </c>
      <c r="B13" s="9">
        <v>1</v>
      </c>
    </row>
    <row r="14" spans="1:2" x14ac:dyDescent="0.25">
      <c r="A14" s="8" t="s">
        <v>74</v>
      </c>
      <c r="B14" s="9">
        <v>1</v>
      </c>
    </row>
    <row r="15" spans="1:2" x14ac:dyDescent="0.25">
      <c r="A15" s="8" t="s">
        <v>46</v>
      </c>
      <c r="B15" s="9">
        <v>1</v>
      </c>
    </row>
    <row r="16" spans="1:2" x14ac:dyDescent="0.25">
      <c r="A16" s="8" t="s">
        <v>95</v>
      </c>
      <c r="B16" s="9">
        <v>1</v>
      </c>
    </row>
    <row r="17" spans="1:2" x14ac:dyDescent="0.25">
      <c r="A17" s="8" t="s">
        <v>28</v>
      </c>
      <c r="B17" s="9">
        <v>1</v>
      </c>
    </row>
    <row r="18" spans="1:2" x14ac:dyDescent="0.25">
      <c r="A18" s="8" t="s">
        <v>135</v>
      </c>
      <c r="B18" s="9">
        <v>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37491-706E-4F3F-8ECB-8A2ADCE51EDD}">
  <dimension ref="D3:E258"/>
  <sheetViews>
    <sheetView topLeftCell="A183" workbookViewId="0">
      <selection activeCell="G203" sqref="G203"/>
    </sheetView>
  </sheetViews>
  <sheetFormatPr defaultRowHeight="15" x14ac:dyDescent="0.25"/>
  <cols>
    <col min="4" max="4" width="20.7109375" bestFit="1" customWidth="1"/>
    <col min="5" max="5" width="34" bestFit="1" customWidth="1"/>
    <col min="6" max="6" width="25.5703125" bestFit="1" customWidth="1"/>
    <col min="7" max="7" width="34" bestFit="1" customWidth="1"/>
    <col min="8" max="8" width="28.140625" bestFit="1" customWidth="1"/>
    <col min="9" max="9" width="16" bestFit="1" customWidth="1"/>
  </cols>
  <sheetData>
    <row r="3" spans="4:5" x14ac:dyDescent="0.25">
      <c r="D3" t="s">
        <v>129</v>
      </c>
      <c r="E3" t="s">
        <v>199</v>
      </c>
    </row>
    <row r="4" spans="4:5" x14ac:dyDescent="0.25">
      <c r="D4" s="10" t="str" cm="1">
        <f t="array" ref="D4:D54">Table1[Audience Name]</f>
        <v>Michael Kennedy</v>
      </c>
      <c r="E4">
        <f>IF(COUNTIFS(InputDataset!H:H,"*Disagree*",InputDataset!D:D,Sheet6!D4)=1,"High Quality Products",0)</f>
        <v>0</v>
      </c>
    </row>
    <row r="5" spans="4:5" x14ac:dyDescent="0.25">
      <c r="D5" s="10" t="str">
        <v>Alexander Dominique</v>
      </c>
      <c r="E5" t="str">
        <f>IF(COUNTIFS(InputDataset!H:H,"*Disagree*",InputDataset!D:D,Sheet6!D5)=1,"High Quality Products",0)</f>
        <v>High Quality Products</v>
      </c>
    </row>
    <row r="6" spans="4:5" x14ac:dyDescent="0.25">
      <c r="D6" s="10" t="str">
        <v>Girish Vengaserry</v>
      </c>
      <c r="E6">
        <f>IF(COUNTIFS(InputDataset!H:H,"*Disagree*",InputDataset!D:D,Sheet6!D6)=1,"High Quality Products",0)</f>
        <v>0</v>
      </c>
    </row>
    <row r="7" spans="4:5" x14ac:dyDescent="0.25">
      <c r="D7" s="10" t="str">
        <v>Ravindar Dayachand</v>
      </c>
      <c r="E7">
        <f>IF(COUNTIFS(InputDataset!H:H,"*Disagree*",InputDataset!D:D,Sheet6!D7)=1,"High Quality Products",0)</f>
        <v>0</v>
      </c>
    </row>
    <row r="8" spans="4:5" x14ac:dyDescent="0.25">
      <c r="D8" s="10" t="str">
        <v>Johan Beerens</v>
      </c>
      <c r="E8">
        <f>IF(COUNTIFS(InputDataset!H:H,"*Disagree*",InputDataset!D:D,Sheet6!D8)=1,"High Quality Products",0)</f>
        <v>0</v>
      </c>
    </row>
    <row r="9" spans="4:5" x14ac:dyDescent="0.25">
      <c r="D9" s="10" t="str">
        <v>Nitin Kare</v>
      </c>
      <c r="E9">
        <f>IF(COUNTIFS(InputDataset!H:H,"*Disagree*",InputDataset!D:D,Sheet6!D9)=1,"High Quality Products",0)</f>
        <v>0</v>
      </c>
    </row>
    <row r="10" spans="4:5" x14ac:dyDescent="0.25">
      <c r="D10" s="10" t="str">
        <v>Nicholas Hatcher</v>
      </c>
      <c r="E10">
        <f>IF(COUNTIFS(InputDataset!H:H,"*Disagree*",InputDataset!D:D,Sheet6!D10)=1,"High Quality Products",0)</f>
        <v>0</v>
      </c>
    </row>
    <row r="11" spans="4:5" x14ac:dyDescent="0.25">
      <c r="D11" s="10" t="str">
        <v>Syed Fahim Akhtar</v>
      </c>
      <c r="E11">
        <f>IF(COUNTIFS(InputDataset!H:H,"*Disagree*",InputDataset!D:D,Sheet6!D11)=1,"High Quality Products",0)</f>
        <v>0</v>
      </c>
    </row>
    <row r="12" spans="4:5" x14ac:dyDescent="0.25">
      <c r="D12" s="10" t="str">
        <v>Riya Matai</v>
      </c>
      <c r="E12">
        <f>IF(COUNTIFS(InputDataset!H:H,"*Disagree*",InputDataset!D:D,Sheet6!D12)=1,"High Quality Products",0)</f>
        <v>0</v>
      </c>
    </row>
    <row r="13" spans="4:5" x14ac:dyDescent="0.25">
      <c r="D13" s="10" t="str">
        <v>Devendra Samant</v>
      </c>
      <c r="E13">
        <f>IF(COUNTIFS(InputDataset!H:H,"*Disagree*",InputDataset!D:D,Sheet6!D13)=1,"High Quality Products",0)</f>
        <v>0</v>
      </c>
    </row>
    <row r="14" spans="4:5" x14ac:dyDescent="0.25">
      <c r="D14" s="10" t="str">
        <v>Matt Melvin</v>
      </c>
      <c r="E14">
        <f>IF(COUNTIFS(InputDataset!H:H,"*Disagree*",InputDataset!D:D,Sheet6!D14)=1,"High Quality Products",0)</f>
        <v>0</v>
      </c>
    </row>
    <row r="15" spans="4:5" x14ac:dyDescent="0.25">
      <c r="D15" s="10" t="str">
        <v>Andrew Wilson</v>
      </c>
      <c r="E15">
        <f>IF(COUNTIFS(InputDataset!H:H,"*Disagree*",InputDataset!D:D,Sheet6!D15)=1,"High Quality Products",0)</f>
        <v>0</v>
      </c>
    </row>
    <row r="16" spans="4:5" x14ac:dyDescent="0.25">
      <c r="D16" s="10" t="str">
        <v>Oliver Monson</v>
      </c>
      <c r="E16">
        <f>IF(COUNTIFS(InputDataset!H:H,"*Disagree*",InputDataset!D:D,Sheet6!D16)=1,"High Quality Products",0)</f>
        <v>0</v>
      </c>
    </row>
    <row r="17" spans="4:5" x14ac:dyDescent="0.25">
      <c r="D17" s="10" t="str">
        <v>Justin Link</v>
      </c>
      <c r="E17">
        <f>IF(COUNTIFS(InputDataset!H:H,"*Disagree*",InputDataset!D:D,Sheet6!D17)=1,"High Quality Products",0)</f>
        <v>0</v>
      </c>
    </row>
    <row r="18" spans="4:5" x14ac:dyDescent="0.25">
      <c r="D18" s="10" t="str">
        <v>Kristin Thompson</v>
      </c>
      <c r="E18">
        <f>IF(COUNTIFS(InputDataset!H:H,"*Disagree*",InputDataset!D:D,Sheet6!D18)=1,"High Quality Products",0)</f>
        <v>0</v>
      </c>
    </row>
    <row r="19" spans="4:5" x14ac:dyDescent="0.25">
      <c r="D19" s="10" t="str">
        <v>Michael Deuerling</v>
      </c>
      <c r="E19">
        <f>IF(COUNTIFS(InputDataset!H:H,"*Disagree*",InputDataset!D:D,Sheet6!D19)=1,"High Quality Products",0)</f>
        <v>0</v>
      </c>
    </row>
    <row r="20" spans="4:5" x14ac:dyDescent="0.25">
      <c r="D20" s="10" t="str">
        <v>Jeremy Young</v>
      </c>
      <c r="E20">
        <f>IF(COUNTIFS(InputDataset!H:H,"*Disagree*",InputDataset!D:D,Sheet6!D20)=1,"High Quality Products",0)</f>
        <v>0</v>
      </c>
    </row>
    <row r="21" spans="4:5" x14ac:dyDescent="0.25">
      <c r="D21" s="10" t="str">
        <v>Phillip Bernard</v>
      </c>
      <c r="E21">
        <f>IF(COUNTIFS(InputDataset!H:H,"*Disagree*",InputDataset!D:D,Sheet6!D21)=1,"High Quality Products",0)</f>
        <v>0</v>
      </c>
    </row>
    <row r="22" spans="4:5" x14ac:dyDescent="0.25">
      <c r="D22" s="10" t="str">
        <v>Olivier Ricordel</v>
      </c>
      <c r="E22">
        <f>IF(COUNTIFS(InputDataset!H:H,"*Disagree*",InputDataset!D:D,Sheet6!D22)=1,"High Quality Products",0)</f>
        <v>0</v>
      </c>
    </row>
    <row r="23" spans="4:5" x14ac:dyDescent="0.25">
      <c r="D23" s="10" t="str">
        <v>Raymond O'Mara</v>
      </c>
      <c r="E23">
        <f>IF(COUNTIFS(InputDataset!H:H,"*Disagree*",InputDataset!D:D,Sheet6!D23)=1,"High Quality Products",0)</f>
        <v>0</v>
      </c>
    </row>
    <row r="24" spans="4:5" x14ac:dyDescent="0.25">
      <c r="D24" s="10" t="str">
        <v>Sheila Nedelcu</v>
      </c>
      <c r="E24">
        <f>IF(COUNTIFS(InputDataset!H:H,"*Disagree*",InputDataset!D:D,Sheet6!D24)=1,"High Quality Products",0)</f>
        <v>0</v>
      </c>
    </row>
    <row r="25" spans="4:5" x14ac:dyDescent="0.25">
      <c r="D25" s="10" t="str">
        <v>Alind Chonkar</v>
      </c>
      <c r="E25">
        <f>IF(COUNTIFS(InputDataset!H:H,"*Disagree*",InputDataset!D:D,Sheet6!D25)=1,"High Quality Products",0)</f>
        <v>0</v>
      </c>
    </row>
    <row r="26" spans="4:5" x14ac:dyDescent="0.25">
      <c r="D26" s="10" t="str">
        <v>Tony Rzany</v>
      </c>
      <c r="E26">
        <f>IF(COUNTIFS(InputDataset!H:H,"*Disagree*",InputDataset!D:D,Sheet6!D26)=1,"High Quality Products",0)</f>
        <v>0</v>
      </c>
    </row>
    <row r="27" spans="4:5" x14ac:dyDescent="0.25">
      <c r="D27" s="10" t="str">
        <v>William Marks</v>
      </c>
      <c r="E27">
        <f>IF(COUNTIFS(InputDataset!H:H,"*Disagree*",InputDataset!D:D,Sheet6!D27)=1,"High Quality Products",0)</f>
        <v>0</v>
      </c>
    </row>
    <row r="28" spans="4:5" x14ac:dyDescent="0.25">
      <c r="D28" s="10" t="str">
        <v>Ben Woodley</v>
      </c>
      <c r="E28">
        <f>IF(COUNTIFS(InputDataset!H:H,"*Disagree*",InputDataset!D:D,Sheet6!D28)=1,"High Quality Products",0)</f>
        <v>0</v>
      </c>
    </row>
    <row r="29" spans="4:5" x14ac:dyDescent="0.25">
      <c r="D29" s="10" t="str">
        <v>Andrea Gagliardi</v>
      </c>
      <c r="E29">
        <f>IF(COUNTIFS(InputDataset!H:H,"*Disagree*",InputDataset!D:D,Sheet6!D29)=1,"High Quality Products",0)</f>
        <v>0</v>
      </c>
    </row>
    <row r="30" spans="4:5" x14ac:dyDescent="0.25">
      <c r="D30" s="10" t="str">
        <v>Hussain Khan</v>
      </c>
      <c r="E30">
        <f>IF(COUNTIFS(InputDataset!H:H,"*Disagree*",InputDataset!D:D,Sheet6!D30)=1,"High Quality Products",0)</f>
        <v>0</v>
      </c>
    </row>
    <row r="31" spans="4:5" x14ac:dyDescent="0.25">
      <c r="D31" s="10" t="str">
        <v>Sagar Zaveri</v>
      </c>
      <c r="E31">
        <f>IF(COUNTIFS(InputDataset!H:H,"*Disagree*",InputDataset!D:D,Sheet6!D31)=1,"High Quality Products",0)</f>
        <v>0</v>
      </c>
    </row>
    <row r="32" spans="4:5" x14ac:dyDescent="0.25">
      <c r="D32" s="10" t="str">
        <v>Eugene Feld</v>
      </c>
      <c r="E32">
        <f>IF(COUNTIFS(InputDataset!H:H,"*Disagree*",InputDataset!D:D,Sheet6!D32)=1,"High Quality Products",0)</f>
        <v>0</v>
      </c>
    </row>
    <row r="33" spans="4:5" x14ac:dyDescent="0.25">
      <c r="D33" s="10" t="str">
        <v>Sneha Chaphalkar</v>
      </c>
      <c r="E33">
        <f>IF(COUNTIFS(InputDataset!H:H,"*Disagree*",InputDataset!D:D,Sheet6!D33)=1,"High Quality Products",0)</f>
        <v>0</v>
      </c>
    </row>
    <row r="34" spans="4:5" x14ac:dyDescent="0.25">
      <c r="D34" s="10" t="str">
        <v>Michael Weiland</v>
      </c>
      <c r="E34">
        <f>IF(COUNTIFS(InputDataset!H:H,"*Disagree*",InputDataset!D:D,Sheet6!D34)=1,"High Quality Products",0)</f>
        <v>0</v>
      </c>
    </row>
    <row r="35" spans="4:5" x14ac:dyDescent="0.25">
      <c r="D35" s="10" t="str">
        <v>Sjon Kuijpers</v>
      </c>
      <c r="E35">
        <f>IF(COUNTIFS(InputDataset!H:H,"*Disagree*",InputDataset!D:D,Sheet6!D35)=1,"High Quality Products",0)</f>
        <v>0</v>
      </c>
    </row>
    <row r="36" spans="4:5" x14ac:dyDescent="0.25">
      <c r="D36" s="10" t="str">
        <v>Rainu Pierce</v>
      </c>
      <c r="E36">
        <f>IF(COUNTIFS(InputDataset!H:H,"*Disagree*",InputDataset!D:D,Sheet6!D36)=1,"High Quality Products",0)</f>
        <v>0</v>
      </c>
    </row>
    <row r="37" spans="4:5" x14ac:dyDescent="0.25">
      <c r="D37" s="10" t="str">
        <v>Susan Petr</v>
      </c>
      <c r="E37">
        <f>IF(COUNTIFS(InputDataset!H:H,"*Disagree*",InputDataset!D:D,Sheet6!D37)=1,"High Quality Products",0)</f>
        <v>0</v>
      </c>
    </row>
    <row r="38" spans="4:5" x14ac:dyDescent="0.25">
      <c r="D38" s="10" t="str">
        <v>Nancy Womack</v>
      </c>
      <c r="E38">
        <f>IF(COUNTIFS(InputDataset!H:H,"*Disagree*",InputDataset!D:D,Sheet6!D38)=1,"High Quality Products",0)</f>
        <v>0</v>
      </c>
    </row>
    <row r="39" spans="4:5" x14ac:dyDescent="0.25">
      <c r="D39" s="10" t="str">
        <v>Andrey Ulianov</v>
      </c>
      <c r="E39">
        <f>IF(COUNTIFS(InputDataset!H:H,"*Disagree*",InputDataset!D:D,Sheet6!D39)=1,"High Quality Products",0)</f>
        <v>0</v>
      </c>
    </row>
    <row r="40" spans="4:5" x14ac:dyDescent="0.25">
      <c r="D40" s="10" t="str">
        <v>Ashutosh Gawade</v>
      </c>
      <c r="E40">
        <f>IF(COUNTIFS(InputDataset!H:H,"*Disagree*",InputDataset!D:D,Sheet6!D40)=1,"High Quality Products",0)</f>
        <v>0</v>
      </c>
    </row>
    <row r="41" spans="4:5" x14ac:dyDescent="0.25">
      <c r="D41" s="10" t="str">
        <v>Guy Romano</v>
      </c>
      <c r="E41">
        <f>IF(COUNTIFS(InputDataset!H:H,"*Disagree*",InputDataset!D:D,Sheet6!D41)=1,"High Quality Products",0)</f>
        <v>0</v>
      </c>
    </row>
    <row r="42" spans="4:5" x14ac:dyDescent="0.25">
      <c r="D42" s="10" t="str">
        <v>Uyen Nguyen</v>
      </c>
      <c r="E42">
        <f>IF(COUNTIFS(InputDataset!H:H,"*Disagree*",InputDataset!D:D,Sheet6!D42)=1,"High Quality Products",0)</f>
        <v>0</v>
      </c>
    </row>
    <row r="43" spans="4:5" x14ac:dyDescent="0.25">
      <c r="D43" s="10" t="str">
        <v>Vikas Wadhwa</v>
      </c>
      <c r="E43">
        <f>IF(COUNTIFS(InputDataset!H:H,"*Disagree*",InputDataset!D:D,Sheet6!D43)=1,"High Quality Products",0)</f>
        <v>0</v>
      </c>
    </row>
    <row r="44" spans="4:5" x14ac:dyDescent="0.25">
      <c r="D44" s="10" t="str">
        <v>Nisha Sharma</v>
      </c>
      <c r="E44">
        <f>IF(COUNTIFS(InputDataset!H:H,"*Disagree*",InputDataset!D:D,Sheet6!D44)=1,"High Quality Products",0)</f>
        <v>0</v>
      </c>
    </row>
    <row r="45" spans="4:5" x14ac:dyDescent="0.25">
      <c r="D45" s="10" t="str">
        <v>James Panek</v>
      </c>
      <c r="E45">
        <f>IF(COUNTIFS(InputDataset!H:H,"*Disagree*",InputDataset!D:D,Sheet6!D45)=1,"High Quality Products",0)</f>
        <v>0</v>
      </c>
    </row>
    <row r="46" spans="4:5" x14ac:dyDescent="0.25">
      <c r="D46" s="10" t="str">
        <v>Krzysztof Makiel</v>
      </c>
      <c r="E46">
        <f>IF(COUNTIFS(InputDataset!H:H,"*Disagree*",InputDataset!D:D,Sheet6!D46)=1,"High Quality Products",0)</f>
        <v>0</v>
      </c>
    </row>
    <row r="47" spans="4:5" x14ac:dyDescent="0.25">
      <c r="D47" s="10" t="str">
        <v>Juilo Arrioja</v>
      </c>
      <c r="E47">
        <f>IF(COUNTIFS(InputDataset!H:H,"*Disagree*",InputDataset!D:D,Sheet6!D47)=1,"High Quality Products",0)</f>
        <v>0</v>
      </c>
    </row>
    <row r="48" spans="4:5" x14ac:dyDescent="0.25">
      <c r="D48" s="10" t="str">
        <v>Don Peterson</v>
      </c>
      <c r="E48">
        <f>IF(COUNTIFS(InputDataset!H:H,"*Disagree*",InputDataset!D:D,Sheet6!D48)=1,"High Quality Products",0)</f>
        <v>0</v>
      </c>
    </row>
    <row r="49" spans="4:5" x14ac:dyDescent="0.25">
      <c r="D49" s="10" t="str">
        <v>Anuradha Shenoy</v>
      </c>
      <c r="E49">
        <f>IF(COUNTIFS(InputDataset!H:H,"*Disagree*",InputDataset!D:D,Sheet6!D49)=1,"High Quality Products",0)</f>
        <v>0</v>
      </c>
    </row>
    <row r="50" spans="4:5" x14ac:dyDescent="0.25">
      <c r="D50" s="10" t="str">
        <v>Max Berggren</v>
      </c>
      <c r="E50">
        <f>IF(COUNTIFS(InputDataset!H:H,"*Disagree*",InputDataset!D:D,Sheet6!D50)=1,"High Quality Products",0)</f>
        <v>0</v>
      </c>
    </row>
    <row r="51" spans="4:5" x14ac:dyDescent="0.25">
      <c r="D51" s="10" t="str">
        <v>Nisha Saini</v>
      </c>
      <c r="E51">
        <f>IF(COUNTIFS(InputDataset!H:H,"*Disagree*",InputDataset!D:D,Sheet6!D51)=1,"High Quality Products",0)</f>
        <v>0</v>
      </c>
    </row>
    <row r="52" spans="4:5" x14ac:dyDescent="0.25">
      <c r="D52" s="10" t="str">
        <v>Adhithya Rajan</v>
      </c>
      <c r="E52">
        <f>IF(COUNTIFS(InputDataset!H:H,"*Disagree*",InputDataset!D:D,Sheet6!D52)=1,"High Quality Products",0)</f>
        <v>0</v>
      </c>
    </row>
    <row r="53" spans="4:5" x14ac:dyDescent="0.25">
      <c r="D53" s="10" t="str">
        <v>Katherine Aanensen</v>
      </c>
      <c r="E53">
        <f>IF(COUNTIFS(InputDataset!H:H,"*Disagree*",InputDataset!D:D,Sheet6!D53)=1,"High Quality Products",0)</f>
        <v>0</v>
      </c>
    </row>
    <row r="54" spans="4:5" x14ac:dyDescent="0.25">
      <c r="D54" s="10" t="str">
        <v>Brandon Ludwig</v>
      </c>
      <c r="E54" t="str">
        <f>IF(COUNTIFS(InputDataset!H:H,"*Disagree*",InputDataset!D:D,Sheet6!D54)=1,"High Quality Products")</f>
        <v>High Quality Products</v>
      </c>
    </row>
    <row r="55" spans="4:5" x14ac:dyDescent="0.25">
      <c r="D55" s="84" t="str" cm="1">
        <f t="array" ref="D55:D105">Table1[Audience Name]</f>
        <v>Michael Kennedy</v>
      </c>
      <c r="E55">
        <f>IF(COUNTIFS(InputDataset!I:I,"*Disagree*",InputDataset!D:D,Sheet6!D55)=1,"Agiility",0)</f>
        <v>0</v>
      </c>
    </row>
    <row r="56" spans="4:5" x14ac:dyDescent="0.25">
      <c r="D56" s="84" t="str">
        <v>Alexander Dominique</v>
      </c>
      <c r="E56">
        <f>IF(COUNTIFS(InputDataset!I:I,"*Disagree*",InputDataset!D:D,Sheet6!D56)=1,"Agiility",0)</f>
        <v>0</v>
      </c>
    </row>
    <row r="57" spans="4:5" x14ac:dyDescent="0.25">
      <c r="D57" s="84" t="str">
        <v>Girish Vengaserry</v>
      </c>
      <c r="E57">
        <f>IF(COUNTIFS(InputDataset!I:I,"*Disagree*",InputDataset!D:D,Sheet6!D57)=1,"Agiility",0)</f>
        <v>0</v>
      </c>
    </row>
    <row r="58" spans="4:5" x14ac:dyDescent="0.25">
      <c r="D58" s="84" t="str">
        <v>Ravindar Dayachand</v>
      </c>
      <c r="E58">
        <f>IF(COUNTIFS(InputDataset!I:I,"*Disagree*",InputDataset!D:D,Sheet6!D58)=1,"Agiility",0)</f>
        <v>0</v>
      </c>
    </row>
    <row r="59" spans="4:5" x14ac:dyDescent="0.25">
      <c r="D59" s="84" t="str">
        <v>Johan Beerens</v>
      </c>
      <c r="E59">
        <f>IF(COUNTIFS(InputDataset!I:I,"*Disagree*",InputDataset!D:D,Sheet6!D59)=1,"Agiility",0)</f>
        <v>0</v>
      </c>
    </row>
    <row r="60" spans="4:5" x14ac:dyDescent="0.25">
      <c r="D60" s="84" t="str">
        <v>Nitin Kare</v>
      </c>
      <c r="E60">
        <f>IF(COUNTIFS(InputDataset!I:I,"*Disagree*",InputDataset!D:D,Sheet6!D60)=1,"Agiility",0)</f>
        <v>0</v>
      </c>
    </row>
    <row r="61" spans="4:5" x14ac:dyDescent="0.25">
      <c r="D61" s="84" t="str">
        <v>Nicholas Hatcher</v>
      </c>
      <c r="E61">
        <f>IF(COUNTIFS(InputDataset!I:I,"*Disagree*",InputDataset!D:D,Sheet6!D61)=1,"Agiility",0)</f>
        <v>0</v>
      </c>
    </row>
    <row r="62" spans="4:5" x14ac:dyDescent="0.25">
      <c r="D62" s="84" t="str">
        <v>Syed Fahim Akhtar</v>
      </c>
      <c r="E62">
        <f>IF(COUNTIFS(InputDataset!I:I,"*Disagree*",InputDataset!D:D,Sheet6!D62)=1,"Agiility",0)</f>
        <v>0</v>
      </c>
    </row>
    <row r="63" spans="4:5" x14ac:dyDescent="0.25">
      <c r="D63" s="84" t="str">
        <v>Riya Matai</v>
      </c>
      <c r="E63">
        <f>IF(COUNTIFS(InputDataset!I:I,"*Disagree*",InputDataset!D:D,Sheet6!D63)=1,"Agiility",0)</f>
        <v>0</v>
      </c>
    </row>
    <row r="64" spans="4:5" x14ac:dyDescent="0.25">
      <c r="D64" s="84" t="str">
        <v>Devendra Samant</v>
      </c>
      <c r="E64">
        <f>IF(COUNTIFS(InputDataset!I:I,"*Disagree*",InputDataset!D:D,Sheet6!D64)=1,"Agiility",0)</f>
        <v>0</v>
      </c>
    </row>
    <row r="65" spans="4:5" x14ac:dyDescent="0.25">
      <c r="D65" s="84" t="str">
        <v>Matt Melvin</v>
      </c>
      <c r="E65">
        <f>IF(COUNTIFS(InputDataset!I:I,"*Disagree*",InputDataset!D:D,Sheet6!D65)=1,"Agiility",0)</f>
        <v>0</v>
      </c>
    </row>
    <row r="66" spans="4:5" x14ac:dyDescent="0.25">
      <c r="D66" s="84" t="str">
        <v>Andrew Wilson</v>
      </c>
      <c r="E66">
        <f>IF(COUNTIFS(InputDataset!I:I,"*Disagree*",InputDataset!D:D,Sheet6!D66)=1,"Agiility",0)</f>
        <v>0</v>
      </c>
    </row>
    <row r="67" spans="4:5" x14ac:dyDescent="0.25">
      <c r="D67" s="84" t="str">
        <v>Oliver Monson</v>
      </c>
      <c r="E67">
        <f>IF(COUNTIFS(InputDataset!I:I,"*Disagree*",InputDataset!D:D,Sheet6!D67)=1,"Agiility",0)</f>
        <v>0</v>
      </c>
    </row>
    <row r="68" spans="4:5" x14ac:dyDescent="0.25">
      <c r="D68" s="84" t="str">
        <v>Justin Link</v>
      </c>
      <c r="E68">
        <f>IF(COUNTIFS(InputDataset!I:I,"*Disagree*",InputDataset!D:D,Sheet6!D68)=1,"Agiility",0)</f>
        <v>0</v>
      </c>
    </row>
    <row r="69" spans="4:5" x14ac:dyDescent="0.25">
      <c r="D69" s="84" t="str">
        <v>Kristin Thompson</v>
      </c>
      <c r="E69">
        <f>IF(COUNTIFS(InputDataset!I:I,"*Disagree*",InputDataset!D:D,Sheet6!D69)=1,"Agiility",0)</f>
        <v>0</v>
      </c>
    </row>
    <row r="70" spans="4:5" x14ac:dyDescent="0.25">
      <c r="D70" s="84" t="str">
        <v>Michael Deuerling</v>
      </c>
      <c r="E70">
        <f>IF(COUNTIFS(InputDataset!I:I,"*Disagree*",InputDataset!D:D,Sheet6!D70)=1,"Agiility",0)</f>
        <v>0</v>
      </c>
    </row>
    <row r="71" spans="4:5" x14ac:dyDescent="0.25">
      <c r="D71" s="84" t="str">
        <v>Jeremy Young</v>
      </c>
      <c r="E71">
        <f>IF(COUNTIFS(InputDataset!I:I,"*Disagree*",InputDataset!D:D,Sheet6!D71)=1,"Agiility",0)</f>
        <v>0</v>
      </c>
    </row>
    <row r="72" spans="4:5" x14ac:dyDescent="0.25">
      <c r="D72" s="84" t="str">
        <v>Phillip Bernard</v>
      </c>
      <c r="E72">
        <f>IF(COUNTIFS(InputDataset!I:I,"*Disagree*",InputDataset!D:D,Sheet6!D72)=1,"Agiility",0)</f>
        <v>0</v>
      </c>
    </row>
    <row r="73" spans="4:5" x14ac:dyDescent="0.25">
      <c r="D73" s="84" t="str">
        <v>Olivier Ricordel</v>
      </c>
      <c r="E73">
        <f>IF(COUNTIFS(InputDataset!I:I,"*Disagree*",InputDataset!D:D,Sheet6!D73)=1,"Agiility",0)</f>
        <v>0</v>
      </c>
    </row>
    <row r="74" spans="4:5" x14ac:dyDescent="0.25">
      <c r="D74" s="84" t="str">
        <v>Raymond O'Mara</v>
      </c>
      <c r="E74">
        <f>IF(COUNTIFS(InputDataset!I:I,"*Disagree*",InputDataset!D:D,Sheet6!D74)=1,"Agiility",0)</f>
        <v>0</v>
      </c>
    </row>
    <row r="75" spans="4:5" x14ac:dyDescent="0.25">
      <c r="D75" s="84" t="str">
        <v>Sheila Nedelcu</v>
      </c>
      <c r="E75">
        <f>IF(COUNTIFS(InputDataset!I:I,"*Disagree*",InputDataset!D:D,Sheet6!D75)=1,"Agiility",0)</f>
        <v>0</v>
      </c>
    </row>
    <row r="76" spans="4:5" x14ac:dyDescent="0.25">
      <c r="D76" s="84" t="str">
        <v>Alind Chonkar</v>
      </c>
      <c r="E76">
        <f>IF(COUNTIFS(InputDataset!I:I,"*Disagree*",InputDataset!D:D,Sheet6!D76)=1,"Agiility",0)</f>
        <v>0</v>
      </c>
    </row>
    <row r="77" spans="4:5" x14ac:dyDescent="0.25">
      <c r="D77" s="84" t="str">
        <v>Tony Rzany</v>
      </c>
      <c r="E77">
        <f>IF(COUNTIFS(InputDataset!I:I,"*Disagree*",InputDataset!D:D,Sheet6!D77)=1,"Agiility",0)</f>
        <v>0</v>
      </c>
    </row>
    <row r="78" spans="4:5" x14ac:dyDescent="0.25">
      <c r="D78" s="84" t="str">
        <v>William Marks</v>
      </c>
      <c r="E78">
        <f>IF(COUNTIFS(InputDataset!I:I,"*Disagree*",InputDataset!D:D,Sheet6!D78)=1,"Agiility",0)</f>
        <v>0</v>
      </c>
    </row>
    <row r="79" spans="4:5" x14ac:dyDescent="0.25">
      <c r="D79" s="84" t="str">
        <v>Ben Woodley</v>
      </c>
      <c r="E79">
        <f>IF(COUNTIFS(InputDataset!I:I,"*Disagree*",InputDataset!D:D,Sheet6!D79)=1,"Agiility",0)</f>
        <v>0</v>
      </c>
    </row>
    <row r="80" spans="4:5" x14ac:dyDescent="0.25">
      <c r="D80" s="84" t="str">
        <v>Andrea Gagliardi</v>
      </c>
      <c r="E80">
        <f>IF(COUNTIFS(InputDataset!I:I,"*Disagree*",InputDataset!D:D,Sheet6!D80)=1,"Agiility",0)</f>
        <v>0</v>
      </c>
    </row>
    <row r="81" spans="4:5" x14ac:dyDescent="0.25">
      <c r="D81" s="84" t="str">
        <v>Hussain Khan</v>
      </c>
      <c r="E81">
        <f>IF(COUNTIFS(InputDataset!I:I,"*Disagree*",InputDataset!D:D,Sheet6!D81)=1,"Agiility",0)</f>
        <v>0</v>
      </c>
    </row>
    <row r="82" spans="4:5" x14ac:dyDescent="0.25">
      <c r="D82" s="84" t="str">
        <v>Sagar Zaveri</v>
      </c>
      <c r="E82">
        <f>IF(COUNTIFS(InputDataset!I:I,"*Disagree*",InputDataset!D:D,Sheet6!D82)=1,"Agiility",0)</f>
        <v>0</v>
      </c>
    </row>
    <row r="83" spans="4:5" x14ac:dyDescent="0.25">
      <c r="D83" s="84" t="str">
        <v>Eugene Feld</v>
      </c>
      <c r="E83">
        <f>IF(COUNTIFS(InputDataset!I:I,"*Disagree*",InputDataset!D:D,Sheet6!D83)=1,"Agiility",0)</f>
        <v>0</v>
      </c>
    </row>
    <row r="84" spans="4:5" x14ac:dyDescent="0.25">
      <c r="D84" s="84" t="str">
        <v>Sneha Chaphalkar</v>
      </c>
      <c r="E84">
        <f>IF(COUNTIFS(InputDataset!I:I,"*Disagree*",InputDataset!D:D,Sheet6!D84)=1,"Agiility",0)</f>
        <v>0</v>
      </c>
    </row>
    <row r="85" spans="4:5" x14ac:dyDescent="0.25">
      <c r="D85" s="84" t="str">
        <v>Michael Weiland</v>
      </c>
      <c r="E85">
        <f>IF(COUNTIFS(InputDataset!I:I,"*Disagree*",InputDataset!D:D,Sheet6!D85)=1,"Agiility",0)</f>
        <v>0</v>
      </c>
    </row>
    <row r="86" spans="4:5" x14ac:dyDescent="0.25">
      <c r="D86" s="84" t="str">
        <v>Sjon Kuijpers</v>
      </c>
      <c r="E86">
        <f>IF(COUNTIFS(InputDataset!I:I,"*Disagree*",InputDataset!D:D,Sheet6!D86)=1,"Agiility",0)</f>
        <v>0</v>
      </c>
    </row>
    <row r="87" spans="4:5" x14ac:dyDescent="0.25">
      <c r="D87" s="84" t="str">
        <v>Rainu Pierce</v>
      </c>
      <c r="E87">
        <f>IF(COUNTIFS(InputDataset!I:I,"*Disagree*",InputDataset!D:D,Sheet6!D87)=1,"Agiility",0)</f>
        <v>0</v>
      </c>
    </row>
    <row r="88" spans="4:5" x14ac:dyDescent="0.25">
      <c r="D88" s="84" t="str">
        <v>Susan Petr</v>
      </c>
      <c r="E88">
        <f>IF(COUNTIFS(InputDataset!I:I,"*Disagree*",InputDataset!D:D,Sheet6!D88)=1,"Agiility",0)</f>
        <v>0</v>
      </c>
    </row>
    <row r="89" spans="4:5" x14ac:dyDescent="0.25">
      <c r="D89" s="84" t="str">
        <v>Nancy Womack</v>
      </c>
      <c r="E89">
        <f>IF(COUNTIFS(InputDataset!I:I,"*Disagree*",InputDataset!D:D,Sheet6!D89)=1,"Agiility",0)</f>
        <v>0</v>
      </c>
    </row>
    <row r="90" spans="4:5" x14ac:dyDescent="0.25">
      <c r="D90" s="84" t="str">
        <v>Andrey Ulianov</v>
      </c>
      <c r="E90">
        <f>IF(COUNTIFS(InputDataset!I:I,"*Disagree*",InputDataset!D:D,Sheet6!D90)=1,"Agiility",0)</f>
        <v>0</v>
      </c>
    </row>
    <row r="91" spans="4:5" x14ac:dyDescent="0.25">
      <c r="D91" s="84" t="str">
        <v>Ashutosh Gawade</v>
      </c>
      <c r="E91">
        <f>IF(COUNTIFS(InputDataset!I:I,"*Disagree*",InputDataset!D:D,Sheet6!D91)=1,"Agiility",0)</f>
        <v>0</v>
      </c>
    </row>
    <row r="92" spans="4:5" x14ac:dyDescent="0.25">
      <c r="D92" s="84" t="str">
        <v>Guy Romano</v>
      </c>
      <c r="E92">
        <f>IF(COUNTIFS(InputDataset!I:I,"*Disagree*",InputDataset!D:D,Sheet6!D92)=1,"Agiility",0)</f>
        <v>0</v>
      </c>
    </row>
    <row r="93" spans="4:5" x14ac:dyDescent="0.25">
      <c r="D93" s="84" t="str">
        <v>Uyen Nguyen</v>
      </c>
      <c r="E93">
        <f>IF(COUNTIFS(InputDataset!I:I,"*Disagree*",InputDataset!D:D,Sheet6!D93)=1,"Agiility",0)</f>
        <v>0</v>
      </c>
    </row>
    <row r="94" spans="4:5" x14ac:dyDescent="0.25">
      <c r="D94" s="84" t="str">
        <v>Vikas Wadhwa</v>
      </c>
      <c r="E94">
        <f>IF(COUNTIFS(InputDataset!I:I,"*Disagree*",InputDataset!D:D,Sheet6!D94)=1,"Agiility",0)</f>
        <v>0</v>
      </c>
    </row>
    <row r="95" spans="4:5" x14ac:dyDescent="0.25">
      <c r="D95" s="84" t="str">
        <v>Nisha Sharma</v>
      </c>
      <c r="E95">
        <f>IF(COUNTIFS(InputDataset!I:I,"*Disagree*",InputDataset!D:D,Sheet6!D95)=1,"Agiility",0)</f>
        <v>0</v>
      </c>
    </row>
    <row r="96" spans="4:5" x14ac:dyDescent="0.25">
      <c r="D96" s="84" t="str">
        <v>James Panek</v>
      </c>
      <c r="E96">
        <f>IF(COUNTIFS(InputDataset!I:I,"*Disagree*",InputDataset!D:D,Sheet6!D96)=1,"Agiility",0)</f>
        <v>0</v>
      </c>
    </row>
    <row r="97" spans="4:5" x14ac:dyDescent="0.25">
      <c r="D97" s="84" t="str">
        <v>Krzysztof Makiel</v>
      </c>
      <c r="E97">
        <f>IF(COUNTIFS(InputDataset!I:I,"*Disagree*",InputDataset!D:D,Sheet6!D97)=1,"Agiility",0)</f>
        <v>0</v>
      </c>
    </row>
    <row r="98" spans="4:5" x14ac:dyDescent="0.25">
      <c r="D98" s="84" t="str">
        <v>Juilo Arrioja</v>
      </c>
      <c r="E98">
        <f>IF(COUNTIFS(InputDataset!I:I,"*Disagree*",InputDataset!D:D,Sheet6!D98)=1,"Agiility",0)</f>
        <v>0</v>
      </c>
    </row>
    <row r="99" spans="4:5" x14ac:dyDescent="0.25">
      <c r="D99" s="84" t="str">
        <v>Don Peterson</v>
      </c>
      <c r="E99">
        <f>IF(COUNTIFS(InputDataset!I:I,"*Disagree*",InputDataset!D:D,Sheet6!D99)=1,"Agiility",0)</f>
        <v>0</v>
      </c>
    </row>
    <row r="100" spans="4:5" x14ac:dyDescent="0.25">
      <c r="D100" s="84" t="str">
        <v>Anuradha Shenoy</v>
      </c>
      <c r="E100">
        <f>IF(COUNTIFS(InputDataset!I:I,"*Disagree*",InputDataset!D:D,Sheet6!D100)=1,"Agiility",0)</f>
        <v>0</v>
      </c>
    </row>
    <row r="101" spans="4:5" x14ac:dyDescent="0.25">
      <c r="D101" s="84" t="str">
        <v>Max Berggren</v>
      </c>
      <c r="E101" t="str">
        <f>IF(COUNTIFS(InputDataset!I:I,"*Disagree*",InputDataset!D:D,Sheet6!D101)=1,"Agiility",0)</f>
        <v>Agiility</v>
      </c>
    </row>
    <row r="102" spans="4:5" x14ac:dyDescent="0.25">
      <c r="D102" s="84" t="str">
        <v>Nisha Saini</v>
      </c>
      <c r="E102">
        <f>IF(COUNTIFS(InputDataset!I:I,"*Disagree*",InputDataset!D:D,Sheet6!D102)=1,"Agiility",0)</f>
        <v>0</v>
      </c>
    </row>
    <row r="103" spans="4:5" x14ac:dyDescent="0.25">
      <c r="D103" s="84" t="str">
        <v>Adhithya Rajan</v>
      </c>
      <c r="E103">
        <f>IF(COUNTIFS(InputDataset!I:I,"*Disagree*",InputDataset!D:D,Sheet6!D103)=1,"Agiility",0)</f>
        <v>0</v>
      </c>
    </row>
    <row r="104" spans="4:5" x14ac:dyDescent="0.25">
      <c r="D104" s="84" t="str">
        <v>Katherine Aanensen</v>
      </c>
      <c r="E104">
        <f>IF(COUNTIFS(InputDataset!I:I,"*Disagree*",InputDataset!D:D,Sheet6!D104)=1,"Agiility",0)</f>
        <v>0</v>
      </c>
    </row>
    <row r="105" spans="4:5" x14ac:dyDescent="0.25">
      <c r="D105" s="84" t="str">
        <v>Brandon Ludwig</v>
      </c>
      <c r="E105" t="str">
        <f>IF(COUNTIFS(InputDataset!I:I,"*Disagree*",InputDataset!D:D,Sheet6!D105)=1,"Agiility",0)</f>
        <v>Agiility</v>
      </c>
    </row>
    <row r="106" spans="4:5" x14ac:dyDescent="0.25">
      <c r="D106" s="85" t="s">
        <v>119</v>
      </c>
      <c r="E106" t="str">
        <f>IF(COUNTIFS(InputDataset!J:J,"*Disagree*",InputDataset!D:D,Sheet6!D106)=1,"Proactive in highlighting issues/risks",0)</f>
        <v>Proactive in highlighting issues/risks</v>
      </c>
    </row>
    <row r="107" spans="4:5" x14ac:dyDescent="0.25">
      <c r="D107" s="85" t="s">
        <v>115</v>
      </c>
      <c r="E107">
        <f>IF(COUNTIFS(InputDataset!J:J,"*Disagree*",InputDataset!D:D,Sheet6!D107)=1,"Proactive in highlighting issues/risks",0)</f>
        <v>0</v>
      </c>
    </row>
    <row r="108" spans="4:5" x14ac:dyDescent="0.25">
      <c r="D108" s="85" t="s">
        <v>111</v>
      </c>
      <c r="E108">
        <f>IF(COUNTIFS(InputDataset!J:J,"*Disagree*",InputDataset!D:D,Sheet6!D108)=1,"Proactive in highlighting issues/risks",0)</f>
        <v>0</v>
      </c>
    </row>
    <row r="109" spans="4:5" x14ac:dyDescent="0.25">
      <c r="D109" s="85" t="s">
        <v>107</v>
      </c>
      <c r="E109">
        <f>IF(COUNTIFS(InputDataset!J:J,"*Disagree*",InputDataset!D:D,Sheet6!D109)=1,"Proactive in highlighting issues/risks",0)</f>
        <v>0</v>
      </c>
    </row>
    <row r="110" spans="4:5" x14ac:dyDescent="0.25">
      <c r="D110" s="85" t="s">
        <v>103</v>
      </c>
      <c r="E110">
        <f>IF(COUNTIFS(InputDataset!J:J,"*Disagree*",InputDataset!D:D,Sheet6!D110)=1,"Proactive in highlighting issues/risks",0)</f>
        <v>0</v>
      </c>
    </row>
    <row r="111" spans="4:5" x14ac:dyDescent="0.25">
      <c r="D111" s="85" t="s">
        <v>99</v>
      </c>
      <c r="E111" t="str">
        <f>IF(COUNTIFS(InputDataset!J:J,"*Disagree*",InputDataset!D:D,Sheet6!D111)=1,"Proactive in highlighting issues/risks",0)</f>
        <v>Proactive in highlighting issues/risks</v>
      </c>
    </row>
    <row r="112" spans="4:5" x14ac:dyDescent="0.25">
      <c r="D112" s="85" t="s">
        <v>97</v>
      </c>
      <c r="E112">
        <f>IF(COUNTIFS(InputDataset!J:J,"*Disagree*",InputDataset!D:D,Sheet6!D112)=1,"Proactive in highlighting issues/risks",0)</f>
        <v>0</v>
      </c>
    </row>
    <row r="113" spans="4:5" x14ac:dyDescent="0.25">
      <c r="D113" s="85" t="s">
        <v>95</v>
      </c>
      <c r="E113" t="str">
        <f>IF(COUNTIFS(InputDataset!J:J,"*Disagree*",InputDataset!D:D,Sheet6!D113)=1,"Proactive in highlighting issues/risks",0)</f>
        <v>Proactive in highlighting issues/risks</v>
      </c>
    </row>
    <row r="114" spans="4:5" x14ac:dyDescent="0.25">
      <c r="D114" s="85" t="s">
        <v>93</v>
      </c>
      <c r="E114">
        <f>IF(COUNTIFS(InputDataset!J:J,"*Disagree*",InputDataset!D:D,Sheet6!D114)=1,"Proactive in highlighting issues/risks",0)</f>
        <v>0</v>
      </c>
    </row>
    <row r="115" spans="4:5" x14ac:dyDescent="0.25">
      <c r="D115" s="85" t="s">
        <v>91</v>
      </c>
      <c r="E115" t="str">
        <f>IF(COUNTIFS(InputDataset!J:J,"*Disagree*",InputDataset!D:D,Sheet6!D115)=1,"Proactive in highlighting issues/risks",0)</f>
        <v>Proactive in highlighting issues/risks</v>
      </c>
    </row>
    <row r="116" spans="4:5" x14ac:dyDescent="0.25">
      <c r="D116" s="85" t="s">
        <v>89</v>
      </c>
      <c r="E116">
        <f>IF(COUNTIFS(InputDataset!J:J,"*Disagree*",InputDataset!D:D,Sheet6!D116)=1,"Proactive in highlighting issues/risks",0)</f>
        <v>0</v>
      </c>
    </row>
    <row r="117" spans="4:5" x14ac:dyDescent="0.25">
      <c r="D117" s="85" t="s">
        <v>87</v>
      </c>
      <c r="E117" t="str">
        <f>IF(COUNTIFS(InputDataset!J:J,"*Disagree*",InputDataset!D:D,Sheet6!D117)=1,"Proactive in highlighting issues/risks",0)</f>
        <v>Proactive in highlighting issues/risks</v>
      </c>
    </row>
    <row r="118" spans="4:5" x14ac:dyDescent="0.25">
      <c r="D118" s="85" t="s">
        <v>85</v>
      </c>
      <c r="E118">
        <f>IF(COUNTIFS(InputDataset!J:J,"*Disagree*",InputDataset!D:D,Sheet6!D118)=1,"Proactive in highlighting issues/risks",0)</f>
        <v>0</v>
      </c>
    </row>
    <row r="119" spans="4:5" x14ac:dyDescent="0.25">
      <c r="D119" s="85" t="s">
        <v>83</v>
      </c>
      <c r="E119">
        <f>IF(COUNTIFS(InputDataset!J:J,"*Disagree*",InputDataset!D:D,Sheet6!D119)=1,"Proactive in highlighting issues/risks",0)</f>
        <v>0</v>
      </c>
    </row>
    <row r="120" spans="4:5" x14ac:dyDescent="0.25">
      <c r="D120" s="85" t="s">
        <v>81</v>
      </c>
      <c r="E120" t="str">
        <f>IF(COUNTIFS(InputDataset!J:J,"*Disagree*",InputDataset!D:D,Sheet6!D120)=1,"Proactive in highlighting issues/risks",0)</f>
        <v>Proactive in highlighting issues/risks</v>
      </c>
    </row>
    <row r="121" spans="4:5" x14ac:dyDescent="0.25">
      <c r="D121" s="85" t="s">
        <v>79</v>
      </c>
      <c r="E121">
        <f>IF(COUNTIFS(InputDataset!J:J,"*Disagree*",InputDataset!D:D,Sheet6!D121)=1,"Proactive in highlighting issues/risks",0)</f>
        <v>0</v>
      </c>
    </row>
    <row r="122" spans="4:5" x14ac:dyDescent="0.25">
      <c r="D122" s="85" t="s">
        <v>77</v>
      </c>
      <c r="E122" t="str">
        <f>IF(COUNTIFS(InputDataset!J:J,"*Disagree*",InputDataset!D:D,Sheet6!D122)=1,"Proactive in highlighting issues/risks",0)</f>
        <v>Proactive in highlighting issues/risks</v>
      </c>
    </row>
    <row r="123" spans="4:5" x14ac:dyDescent="0.25">
      <c r="D123" s="85" t="s">
        <v>74</v>
      </c>
      <c r="E123">
        <f>IF(COUNTIFS(InputDataset!J:J,"*Disagree*",InputDataset!D:D,Sheet6!D123)=1,"Proactive in highlighting issues/risks",0)</f>
        <v>0</v>
      </c>
    </row>
    <row r="124" spans="4:5" x14ac:dyDescent="0.25">
      <c r="D124" s="85" t="s">
        <v>72</v>
      </c>
      <c r="E124">
        <f>IF(COUNTIFS(InputDataset!J:J,"*Disagree*",InputDataset!D:D,Sheet6!D124)=1,"Proactive in highlighting issues/risks",0)</f>
        <v>0</v>
      </c>
    </row>
    <row r="125" spans="4:5" x14ac:dyDescent="0.25">
      <c r="D125" s="85" t="s">
        <v>70</v>
      </c>
      <c r="E125">
        <f>IF(COUNTIFS(InputDataset!J:J,"*Disagree*",InputDataset!D:D,Sheet6!D125)=1,"Proactive in highlighting issues/risks",0)</f>
        <v>0</v>
      </c>
    </row>
    <row r="126" spans="4:5" x14ac:dyDescent="0.25">
      <c r="D126" s="85" t="s">
        <v>68</v>
      </c>
      <c r="E126">
        <f>IF(COUNTIFS(InputDataset!J:J,"*Disagree*",InputDataset!D:D,Sheet6!D126)=1,"Proactive in highlighting issues/risks",0)</f>
        <v>0</v>
      </c>
    </row>
    <row r="127" spans="4:5" x14ac:dyDescent="0.25">
      <c r="D127" s="85" t="s">
        <v>66</v>
      </c>
      <c r="E127">
        <f>IF(COUNTIFS(InputDataset!J:J,"*Disagree*",InputDataset!D:D,Sheet6!D127)=1,"Proactive in highlighting issues/risks",0)</f>
        <v>0</v>
      </c>
    </row>
    <row r="128" spans="4:5" x14ac:dyDescent="0.25">
      <c r="D128" s="85" t="s">
        <v>64</v>
      </c>
      <c r="E128" t="str">
        <f>IF(COUNTIFS(InputDataset!J:J,"*Disagree*",InputDataset!D:D,Sheet6!D128)=1,"Proactive in highlighting issues/risks",0)</f>
        <v>Proactive in highlighting issues/risks</v>
      </c>
    </row>
    <row r="129" spans="4:5" x14ac:dyDescent="0.25">
      <c r="D129" s="85" t="s">
        <v>62</v>
      </c>
      <c r="E129">
        <f>IF(COUNTIFS(InputDataset!J:J,"*Disagree*",InputDataset!D:D,Sheet6!D129)=1,"Proactive in highlighting issues/risks",0)</f>
        <v>0</v>
      </c>
    </row>
    <row r="130" spans="4:5" x14ac:dyDescent="0.25">
      <c r="D130" s="85" t="s">
        <v>60</v>
      </c>
      <c r="E130">
        <f>IF(COUNTIFS(InputDataset!J:J,"*Disagree*",InputDataset!D:D,Sheet6!D130)=1,"Proactive in highlighting issues/risks",0)</f>
        <v>0</v>
      </c>
    </row>
    <row r="131" spans="4:5" x14ac:dyDescent="0.25">
      <c r="D131" s="85" t="s">
        <v>58</v>
      </c>
      <c r="E131">
        <f>IF(COUNTIFS(InputDataset!J:J,"*Disagree*",InputDataset!D:D,Sheet6!D131)=1,"Proactive in highlighting issues/risks",0)</f>
        <v>0</v>
      </c>
    </row>
    <row r="132" spans="4:5" x14ac:dyDescent="0.25">
      <c r="D132" s="85" t="s">
        <v>56</v>
      </c>
      <c r="E132" t="str">
        <f>IF(COUNTIFS(InputDataset!J:J,"*Disagree*",InputDataset!D:D,Sheet6!D132)=1,"Proactive in highlighting issues/risks",0)</f>
        <v>Proactive in highlighting issues/risks</v>
      </c>
    </row>
    <row r="133" spans="4:5" x14ac:dyDescent="0.25">
      <c r="D133" s="85" t="s">
        <v>54</v>
      </c>
      <c r="E133">
        <f>IF(COUNTIFS(InputDataset!J:J,"*Disagree*",InputDataset!D:D,Sheet6!D133)=1,"Proactive in highlighting issues/risks",0)</f>
        <v>0</v>
      </c>
    </row>
    <row r="134" spans="4:5" x14ac:dyDescent="0.25">
      <c r="D134" s="85" t="s">
        <v>52</v>
      </c>
      <c r="E134">
        <f>IF(COUNTIFS(InputDataset!J:J,"*Disagree*",InputDataset!D:D,Sheet6!D134)=1,"Proactive in highlighting issues/risks",0)</f>
        <v>0</v>
      </c>
    </row>
    <row r="135" spans="4:5" x14ac:dyDescent="0.25">
      <c r="D135" s="85" t="s">
        <v>50</v>
      </c>
      <c r="E135">
        <f>IF(COUNTIFS(InputDataset!J:J,"*Disagree*",InputDataset!D:D,Sheet6!D135)=1,"Proactive in highlighting issues/risks",0)</f>
        <v>0</v>
      </c>
    </row>
    <row r="136" spans="4:5" x14ac:dyDescent="0.25">
      <c r="D136" s="85" t="s">
        <v>48</v>
      </c>
      <c r="E136">
        <f>IF(COUNTIFS(InputDataset!J:J,"*Disagree*",InputDataset!D:D,Sheet6!D136)=1,"Proactive in highlighting issues/risks",0)</f>
        <v>0</v>
      </c>
    </row>
    <row r="137" spans="4:5" x14ac:dyDescent="0.25">
      <c r="D137" s="85" t="s">
        <v>46</v>
      </c>
      <c r="E137">
        <f>IF(COUNTIFS(InputDataset!J:J,"*Disagree*",InputDataset!D:D,Sheet6!D137)=1,"Proactive in highlighting issues/risks",0)</f>
        <v>0</v>
      </c>
    </row>
    <row r="138" spans="4:5" x14ac:dyDescent="0.25">
      <c r="D138" s="85" t="s">
        <v>44</v>
      </c>
      <c r="E138">
        <f>IF(COUNTIFS(InputDataset!J:J,"*Disagree*",InputDataset!D:D,Sheet6!D138)=1,"Proactive in highlighting issues/risks",0)</f>
        <v>0</v>
      </c>
    </row>
    <row r="139" spans="4:5" x14ac:dyDescent="0.25">
      <c r="D139" s="85" t="s">
        <v>42</v>
      </c>
      <c r="E139">
        <f>IF(COUNTIFS(InputDataset!J:J,"*Disagree*",InputDataset!D:D,Sheet6!D139)=1,"Proactive in highlighting issues/risks",0)</f>
        <v>0</v>
      </c>
    </row>
    <row r="140" spans="4:5" x14ac:dyDescent="0.25">
      <c r="D140" s="85" t="s">
        <v>40</v>
      </c>
      <c r="E140" t="str">
        <f>IF(COUNTIFS(InputDataset!J:J,"*Disagree*",InputDataset!D:D,Sheet6!D140)=1,"Proactive in highlighting issues/risks",0)</f>
        <v>Proactive in highlighting issues/risks</v>
      </c>
    </row>
    <row r="141" spans="4:5" x14ac:dyDescent="0.25">
      <c r="D141" s="85" t="s">
        <v>38</v>
      </c>
      <c r="E141">
        <f>IF(COUNTIFS(InputDataset!J:J,"*Disagree*",InputDataset!D:D,Sheet6!D141)=1,"Proactive in highlighting issues/risks",0)</f>
        <v>0</v>
      </c>
    </row>
    <row r="142" spans="4:5" x14ac:dyDescent="0.25">
      <c r="D142" s="85" t="s">
        <v>35</v>
      </c>
      <c r="E142">
        <f>IF(COUNTIFS(InputDataset!J:J,"*Disagree*",InputDataset!D:D,Sheet6!D142)=1,"Proactive in highlighting issues/risks",0)</f>
        <v>0</v>
      </c>
    </row>
    <row r="143" spans="4:5" x14ac:dyDescent="0.25">
      <c r="D143" s="85" t="s">
        <v>32</v>
      </c>
      <c r="E143">
        <f>IF(COUNTIFS(InputDataset!J:J,"*Disagree*",InputDataset!D:D,Sheet6!D143)=1,"Proactive in highlighting issues/risks",0)</f>
        <v>0</v>
      </c>
    </row>
    <row r="144" spans="4:5" x14ac:dyDescent="0.25">
      <c r="D144" s="85" t="s">
        <v>30</v>
      </c>
      <c r="E144">
        <f>IF(COUNTIFS(InputDataset!J:J,"*Disagree*",InputDataset!D:D,Sheet6!D144)=1,"Proactive in highlighting issues/risks",0)</f>
        <v>0</v>
      </c>
    </row>
    <row r="145" spans="4:5" x14ac:dyDescent="0.25">
      <c r="D145" s="85" t="s">
        <v>28</v>
      </c>
      <c r="E145">
        <f>IF(COUNTIFS(InputDataset!J:J,"*Disagree*",InputDataset!D:D,Sheet6!D145)=1,"Proactive in highlighting issues/risks",0)</f>
        <v>0</v>
      </c>
    </row>
    <row r="146" spans="4:5" x14ac:dyDescent="0.25">
      <c r="D146" s="85" t="s">
        <v>26</v>
      </c>
      <c r="E146" t="str">
        <f>IF(COUNTIFS(InputDataset!J:J,"*Disagree*",InputDataset!D:D,Sheet6!D146)=1,"Proactive in highlighting issues/risks",0)</f>
        <v>Proactive in highlighting issues/risks</v>
      </c>
    </row>
    <row r="147" spans="4:5" x14ac:dyDescent="0.25">
      <c r="D147" s="85" t="s">
        <v>24</v>
      </c>
      <c r="E147">
        <f>IF(COUNTIFS(InputDataset!J:J,"*Disagree*",InputDataset!D:D,Sheet6!D147)=1,"Proactive in highlighting issues/risks",0)</f>
        <v>0</v>
      </c>
    </row>
    <row r="148" spans="4:5" x14ac:dyDescent="0.25">
      <c r="D148" s="85" t="s">
        <v>22</v>
      </c>
      <c r="E148">
        <f>IF(COUNTIFS(InputDataset!J:J,"*Disagree*",InputDataset!D:D,Sheet6!D148)=1,"Proactive in highlighting issues/risks",0)</f>
        <v>0</v>
      </c>
    </row>
    <row r="149" spans="4:5" x14ac:dyDescent="0.25">
      <c r="D149" s="85" t="s">
        <v>20</v>
      </c>
      <c r="E149">
        <f>IF(COUNTIFS(InputDataset!J:J,"*Disagree*",InputDataset!D:D,Sheet6!D149)=1,"Proactive in highlighting issues/risks",0)</f>
        <v>0</v>
      </c>
    </row>
    <row r="150" spans="4:5" x14ac:dyDescent="0.25">
      <c r="D150" s="85" t="s">
        <v>18</v>
      </c>
      <c r="E150">
        <f>IF(COUNTIFS(InputDataset!J:J,"*Disagree*",InputDataset!D:D,Sheet6!D150)=1,"Proactive in highlighting issues/risks",0)</f>
        <v>0</v>
      </c>
    </row>
    <row r="151" spans="4:5" x14ac:dyDescent="0.25">
      <c r="D151" s="85" t="s">
        <v>16</v>
      </c>
      <c r="E151">
        <f>IF(COUNTIFS(InputDataset!J:J,"*Disagree*",InputDataset!D:D,Sheet6!D151)=1,"Proactive in highlighting issues/risks",0)</f>
        <v>0</v>
      </c>
    </row>
    <row r="152" spans="4:5" x14ac:dyDescent="0.25">
      <c r="D152" s="85" t="s">
        <v>13</v>
      </c>
      <c r="E152">
        <f>IF(COUNTIFS(InputDataset!J:J,"*Disagree*",InputDataset!D:D,Sheet6!D152)=1,"Proactive in highlighting issues/risks",0)</f>
        <v>0</v>
      </c>
    </row>
    <row r="153" spans="4:5" x14ac:dyDescent="0.25">
      <c r="D153" s="85" t="s">
        <v>10</v>
      </c>
      <c r="E153">
        <f>IF(COUNTIFS(InputDataset!J:J,"*Disagree*",InputDataset!D:D,Sheet6!D153)=1,"Proactive in highlighting issues/risks",0)</f>
        <v>0</v>
      </c>
    </row>
    <row r="154" spans="4:5" x14ac:dyDescent="0.25">
      <c r="D154" s="85" t="s">
        <v>8</v>
      </c>
      <c r="E154">
        <f>IF(COUNTIFS(InputDataset!J:J,"*Disagree*",InputDataset!D:D,Sheet6!D154)=1,"Proactive in highlighting issues/risks",0)</f>
        <v>0</v>
      </c>
    </row>
    <row r="155" spans="4:5" x14ac:dyDescent="0.25">
      <c r="D155" s="85" t="s">
        <v>6</v>
      </c>
      <c r="E155">
        <f>IF(COUNTIFS(InputDataset!J:J,"*Disagree*",InputDataset!D:D,Sheet6!D155)=1,"Proactive in highlighting issues/risks",0)</f>
        <v>0</v>
      </c>
    </row>
    <row r="156" spans="4:5" x14ac:dyDescent="0.25">
      <c r="D156" s="85" t="s">
        <v>1</v>
      </c>
      <c r="E156" t="str">
        <f>IF(COUNTIFS(InputDataset!J:J,"*Disagree*",InputDataset!D:D,Sheet6!D156)=1,"Proactive in highlighting issues/risks",0)</f>
        <v>Proactive in highlighting issues/risks</v>
      </c>
    </row>
    <row r="157" spans="4:5" x14ac:dyDescent="0.25">
      <c r="D157" s="86" t="s">
        <v>119</v>
      </c>
      <c r="E157" t="str">
        <f>IF(COUNTIFS(InputDataset!K:K,"*Disagree*",InputDataset!D:D,Sheet6!D157)=1,"Sharing project status updates",0)</f>
        <v>Sharing project status updates</v>
      </c>
    </row>
    <row r="158" spans="4:5" x14ac:dyDescent="0.25">
      <c r="D158" s="86" t="s">
        <v>115</v>
      </c>
      <c r="E158">
        <f>IF(COUNTIFS(InputDataset!K:K,"*Disagree*",InputDataset!D:D,Sheet6!D158)=1,"Sharing project status updates",0)</f>
        <v>0</v>
      </c>
    </row>
    <row r="159" spans="4:5" x14ac:dyDescent="0.25">
      <c r="D159" s="86" t="s">
        <v>111</v>
      </c>
      <c r="E159" t="str">
        <f>IF(COUNTIFS(InputDataset!K:K,"*Disagree*",InputDataset!D:D,Sheet6!D159)=1,"Sharing project status updates",0)</f>
        <v>Sharing project status updates</v>
      </c>
    </row>
    <row r="160" spans="4:5" x14ac:dyDescent="0.25">
      <c r="D160" s="86" t="s">
        <v>107</v>
      </c>
      <c r="E160">
        <f>IF(COUNTIFS(InputDataset!K:K,"*Disagree*",InputDataset!D:D,Sheet6!D160)=1,"Sharing project status updates",0)</f>
        <v>0</v>
      </c>
    </row>
    <row r="161" spans="4:5" x14ac:dyDescent="0.25">
      <c r="D161" s="86" t="s">
        <v>103</v>
      </c>
      <c r="E161" t="str">
        <f>IF(COUNTIFS(InputDataset!K:K,"*Disagree*",InputDataset!D:D,Sheet6!D161)=1,"Sharing project status updates",0)</f>
        <v>Sharing project status updates</v>
      </c>
    </row>
    <row r="162" spans="4:5" x14ac:dyDescent="0.25">
      <c r="D162" s="86" t="s">
        <v>99</v>
      </c>
      <c r="E162">
        <f>IF(COUNTIFS(InputDataset!K:K,"*Disagree*",InputDataset!D:D,Sheet6!D162)=1,"Sharing project status updates",0)</f>
        <v>0</v>
      </c>
    </row>
    <row r="163" spans="4:5" x14ac:dyDescent="0.25">
      <c r="D163" s="86" t="s">
        <v>97</v>
      </c>
      <c r="E163">
        <f>IF(COUNTIFS(InputDataset!K:K,"*Disagree*",InputDataset!D:D,Sheet6!D163)=1,"Sharing project status updates",0)</f>
        <v>0</v>
      </c>
    </row>
    <row r="164" spans="4:5" x14ac:dyDescent="0.25">
      <c r="D164" s="86" t="s">
        <v>95</v>
      </c>
      <c r="E164" t="str">
        <f>IF(COUNTIFS(InputDataset!K:K,"*Disagree*",InputDataset!D:D,Sheet6!D164)=1,"Sharing project status updates",0)</f>
        <v>Sharing project status updates</v>
      </c>
    </row>
    <row r="165" spans="4:5" x14ac:dyDescent="0.25">
      <c r="D165" s="86" t="s">
        <v>93</v>
      </c>
      <c r="E165">
        <f>IF(COUNTIFS(InputDataset!K:K,"*Disagree*",InputDataset!D:D,Sheet6!D165)=1,"Sharing project status updates",0)</f>
        <v>0</v>
      </c>
    </row>
    <row r="166" spans="4:5" x14ac:dyDescent="0.25">
      <c r="D166" s="86" t="s">
        <v>91</v>
      </c>
      <c r="E166">
        <f>IF(COUNTIFS(InputDataset!K:K,"*Disagree*",InputDataset!D:D,Sheet6!D166)=1,"Sharing project status updates",0)</f>
        <v>0</v>
      </c>
    </row>
    <row r="167" spans="4:5" x14ac:dyDescent="0.25">
      <c r="D167" s="86" t="s">
        <v>89</v>
      </c>
      <c r="E167">
        <f>IF(COUNTIFS(InputDataset!K:K,"*Disagree*",InputDataset!D:D,Sheet6!D167)=1,"Sharing project status updates",0)</f>
        <v>0</v>
      </c>
    </row>
    <row r="168" spans="4:5" x14ac:dyDescent="0.25">
      <c r="D168" s="86" t="s">
        <v>87</v>
      </c>
      <c r="E168" t="str">
        <f>IF(COUNTIFS(InputDataset!K:K,"*Disagree*",InputDataset!D:D,Sheet6!D168)=1,"Sharing project status updates",0)</f>
        <v>Sharing project status updates</v>
      </c>
    </row>
    <row r="169" spans="4:5" x14ac:dyDescent="0.25">
      <c r="D169" s="86" t="s">
        <v>85</v>
      </c>
      <c r="E169">
        <f>IF(COUNTIFS(InputDataset!K:K,"*Disagree*",InputDataset!D:D,Sheet6!D169)=1,"Sharing project status updates",0)</f>
        <v>0</v>
      </c>
    </row>
    <row r="170" spans="4:5" x14ac:dyDescent="0.25">
      <c r="D170" s="86" t="s">
        <v>83</v>
      </c>
      <c r="E170">
        <f>IF(COUNTIFS(InputDataset!K:K,"*Disagree*",InputDataset!D:D,Sheet6!D170)=1,"Sharing project status updates",0)</f>
        <v>0</v>
      </c>
    </row>
    <row r="171" spans="4:5" x14ac:dyDescent="0.25">
      <c r="D171" s="86" t="s">
        <v>81</v>
      </c>
      <c r="E171" t="str">
        <f>IF(COUNTIFS(InputDataset!K:K,"*Disagree*",InputDataset!D:D,Sheet6!D171)=1,"Sharing project status updates",0)</f>
        <v>Sharing project status updates</v>
      </c>
    </row>
    <row r="172" spans="4:5" x14ac:dyDescent="0.25">
      <c r="D172" s="86" t="s">
        <v>79</v>
      </c>
      <c r="E172">
        <f>IF(COUNTIFS(InputDataset!K:K,"*Disagree*",InputDataset!D:D,Sheet6!D172)=1,"Sharing project status updates",0)</f>
        <v>0</v>
      </c>
    </row>
    <row r="173" spans="4:5" x14ac:dyDescent="0.25">
      <c r="D173" s="86" t="s">
        <v>77</v>
      </c>
      <c r="E173">
        <f>IF(COUNTIFS(InputDataset!K:K,"*Disagree*",InputDataset!D:D,Sheet6!D173)=1,"Sharing project status updates",0)</f>
        <v>0</v>
      </c>
    </row>
    <row r="174" spans="4:5" x14ac:dyDescent="0.25">
      <c r="D174" s="86" t="s">
        <v>74</v>
      </c>
      <c r="E174" t="str">
        <f>IF(COUNTIFS(InputDataset!K:K,"*Disagree*",InputDataset!D:D,Sheet6!D174)=1,"Sharing project status updates",0)</f>
        <v>Sharing project status updates</v>
      </c>
    </row>
    <row r="175" spans="4:5" x14ac:dyDescent="0.25">
      <c r="D175" s="86" t="s">
        <v>72</v>
      </c>
      <c r="E175">
        <f>IF(COUNTIFS(InputDataset!K:K,"*Disagree*",InputDataset!D:D,Sheet6!D175)=1,"Sharing project status updates",0)</f>
        <v>0</v>
      </c>
    </row>
    <row r="176" spans="4:5" x14ac:dyDescent="0.25">
      <c r="D176" s="86" t="s">
        <v>70</v>
      </c>
      <c r="E176">
        <f>IF(COUNTIFS(InputDataset!K:K,"*Disagree*",InputDataset!D:D,Sheet6!D176)=1,"Sharing project status updates",0)</f>
        <v>0</v>
      </c>
    </row>
    <row r="177" spans="4:5" x14ac:dyDescent="0.25">
      <c r="D177" s="86" t="s">
        <v>68</v>
      </c>
      <c r="E177">
        <f>IF(COUNTIFS(InputDataset!K:K,"*Disagree*",InputDataset!D:D,Sheet6!D177)=1,"Sharing project status updates",0)</f>
        <v>0</v>
      </c>
    </row>
    <row r="178" spans="4:5" x14ac:dyDescent="0.25">
      <c r="D178" s="86" t="s">
        <v>66</v>
      </c>
      <c r="E178" t="str">
        <f>IF(COUNTIFS(InputDataset!K:K,"*Disagree*",InputDataset!D:D,Sheet6!D178)=1,"Sharing project status updates",0)</f>
        <v>Sharing project status updates</v>
      </c>
    </row>
    <row r="179" spans="4:5" x14ac:dyDescent="0.25">
      <c r="D179" s="86" t="s">
        <v>64</v>
      </c>
      <c r="E179">
        <f>IF(COUNTIFS(InputDataset!K:K,"*Disagree*",InputDataset!D:D,Sheet6!D179)=1,"Sharing project status updates",0)</f>
        <v>0</v>
      </c>
    </row>
    <row r="180" spans="4:5" x14ac:dyDescent="0.25">
      <c r="D180" s="86" t="s">
        <v>62</v>
      </c>
      <c r="E180">
        <f>IF(COUNTIFS(InputDataset!K:K,"*Disagree*",InputDataset!D:D,Sheet6!D180)=1,"Sharing project status updates",0)</f>
        <v>0</v>
      </c>
    </row>
    <row r="181" spans="4:5" x14ac:dyDescent="0.25">
      <c r="D181" s="86" t="s">
        <v>60</v>
      </c>
      <c r="E181">
        <f>IF(COUNTIFS(InputDataset!K:K,"*Disagree*",InputDataset!D:D,Sheet6!D181)=1,"Sharing project status updates",0)</f>
        <v>0</v>
      </c>
    </row>
    <row r="182" spans="4:5" x14ac:dyDescent="0.25">
      <c r="D182" s="86" t="s">
        <v>58</v>
      </c>
      <c r="E182">
        <f>IF(COUNTIFS(InputDataset!K:K,"*Disagree*",InputDataset!D:D,Sheet6!D182)=1,"Sharing project status updates",0)</f>
        <v>0</v>
      </c>
    </row>
    <row r="183" spans="4:5" x14ac:dyDescent="0.25">
      <c r="D183" s="86" t="s">
        <v>56</v>
      </c>
      <c r="E183" t="str">
        <f>IF(COUNTIFS(InputDataset!K:K,"*Disagree*",InputDataset!D:D,Sheet6!D183)=1,"Sharing project status updates",0)</f>
        <v>Sharing project status updates</v>
      </c>
    </row>
    <row r="184" spans="4:5" x14ac:dyDescent="0.25">
      <c r="D184" s="86" t="s">
        <v>54</v>
      </c>
      <c r="E184">
        <f>IF(COUNTIFS(InputDataset!K:K,"*Disagree*",InputDataset!D:D,Sheet6!D184)=1,"Sharing project status updates",0)</f>
        <v>0</v>
      </c>
    </row>
    <row r="185" spans="4:5" x14ac:dyDescent="0.25">
      <c r="D185" s="86" t="s">
        <v>52</v>
      </c>
      <c r="E185">
        <f>IF(COUNTIFS(InputDataset!K:K,"*Disagree*",InputDataset!D:D,Sheet6!D185)=1,"Sharing project status updates",0)</f>
        <v>0</v>
      </c>
    </row>
    <row r="186" spans="4:5" x14ac:dyDescent="0.25">
      <c r="D186" s="86" t="s">
        <v>50</v>
      </c>
      <c r="E186">
        <f>IF(COUNTIFS(InputDataset!K:K,"*Disagree*",InputDataset!D:D,Sheet6!D186)=1,"Sharing project status updates",0)</f>
        <v>0</v>
      </c>
    </row>
    <row r="187" spans="4:5" x14ac:dyDescent="0.25">
      <c r="D187" s="86" t="s">
        <v>48</v>
      </c>
      <c r="E187">
        <f>IF(COUNTIFS(InputDataset!K:K,"*Disagree*",InputDataset!D:D,Sheet6!D187)=1,"Sharing project status updates",0)</f>
        <v>0</v>
      </c>
    </row>
    <row r="188" spans="4:5" x14ac:dyDescent="0.25">
      <c r="D188" s="86" t="s">
        <v>46</v>
      </c>
      <c r="E188" t="str">
        <f>IF(COUNTIFS(InputDataset!K:K,"*Disagree*",InputDataset!D:D,Sheet6!D188)=1,"Sharing project status updates",0)</f>
        <v>Sharing project status updates</v>
      </c>
    </row>
    <row r="189" spans="4:5" x14ac:dyDescent="0.25">
      <c r="D189" s="86" t="s">
        <v>44</v>
      </c>
      <c r="E189">
        <f>IF(COUNTIFS(InputDataset!K:K,"*Disagree*",InputDataset!D:D,Sheet6!D189)=1,"Sharing project status updates",0)</f>
        <v>0</v>
      </c>
    </row>
    <row r="190" spans="4:5" x14ac:dyDescent="0.25">
      <c r="D190" s="86" t="s">
        <v>42</v>
      </c>
      <c r="E190">
        <f>IF(COUNTIFS(InputDataset!K:K,"*Disagree*",InputDataset!D:D,Sheet6!D190)=1,"Sharing project status updates",0)</f>
        <v>0</v>
      </c>
    </row>
    <row r="191" spans="4:5" x14ac:dyDescent="0.25">
      <c r="D191" s="86" t="s">
        <v>40</v>
      </c>
      <c r="E191">
        <f>IF(COUNTIFS(InputDataset!K:K,"*Disagree*",InputDataset!D:D,Sheet6!D191)=1,"Sharing project status updates",0)</f>
        <v>0</v>
      </c>
    </row>
    <row r="192" spans="4:5" x14ac:dyDescent="0.25">
      <c r="D192" s="86" t="s">
        <v>38</v>
      </c>
      <c r="E192">
        <f>IF(COUNTIFS(InputDataset!K:K,"*Disagree*",InputDataset!D:D,Sheet6!D192)=1,"Sharing project status updates",0)</f>
        <v>0</v>
      </c>
    </row>
    <row r="193" spans="4:5" x14ac:dyDescent="0.25">
      <c r="D193" s="86" t="s">
        <v>35</v>
      </c>
      <c r="E193" t="str">
        <f>IF(COUNTIFS(InputDataset!K:K,"*Disagree*",InputDataset!D:D,Sheet6!D193)=1,"Sharing project status updates",0)</f>
        <v>Sharing project status updates</v>
      </c>
    </row>
    <row r="194" spans="4:5" x14ac:dyDescent="0.25">
      <c r="D194" s="86" t="s">
        <v>32</v>
      </c>
      <c r="E194">
        <f>IF(COUNTIFS(InputDataset!K:K,"*Disagree*",InputDataset!D:D,Sheet6!D194)=1,"Sharing project status updates",0)</f>
        <v>0</v>
      </c>
    </row>
    <row r="195" spans="4:5" x14ac:dyDescent="0.25">
      <c r="D195" s="86" t="s">
        <v>30</v>
      </c>
      <c r="E195">
        <f>IF(COUNTIFS(InputDataset!K:K,"*Disagree*",InputDataset!D:D,Sheet6!D195)=1,"Sharing project status updates",0)</f>
        <v>0</v>
      </c>
    </row>
    <row r="196" spans="4:5" x14ac:dyDescent="0.25">
      <c r="D196" s="86" t="s">
        <v>28</v>
      </c>
      <c r="E196" t="str">
        <f>IF(COUNTIFS(InputDataset!K:K,"*Disagree*",InputDataset!D:D,Sheet6!D196)=1,"Sharing project status updates",0)</f>
        <v>Sharing project status updates</v>
      </c>
    </row>
    <row r="197" spans="4:5" x14ac:dyDescent="0.25">
      <c r="D197" s="86" t="s">
        <v>26</v>
      </c>
      <c r="E197">
        <f>IF(COUNTIFS(InputDataset!K:K,"*Disagree*",InputDataset!D:D,Sheet6!D197)=1,"Sharing project status updates",0)</f>
        <v>0</v>
      </c>
    </row>
    <row r="198" spans="4:5" x14ac:dyDescent="0.25">
      <c r="D198" s="86" t="s">
        <v>24</v>
      </c>
      <c r="E198">
        <f>IF(COUNTIFS(InputDataset!K:K,"*Disagree*",InputDataset!D:D,Sheet6!D198)=1,"Sharing project status updates",0)</f>
        <v>0</v>
      </c>
    </row>
    <row r="199" spans="4:5" x14ac:dyDescent="0.25">
      <c r="D199" s="86" t="s">
        <v>22</v>
      </c>
      <c r="E199">
        <f>IF(COUNTIFS(InputDataset!K:K,"*Disagree*",InputDataset!D:D,Sheet6!D199)=1,"Sharing project status updates",0)</f>
        <v>0</v>
      </c>
    </row>
    <row r="200" spans="4:5" x14ac:dyDescent="0.25">
      <c r="D200" s="86" t="s">
        <v>20</v>
      </c>
      <c r="E200">
        <f>IF(COUNTIFS(InputDataset!K:K,"*Disagree*",InputDataset!D:D,Sheet6!D200)=1,"Sharing project status updates",0)</f>
        <v>0</v>
      </c>
    </row>
    <row r="201" spans="4:5" x14ac:dyDescent="0.25">
      <c r="D201" s="86" t="s">
        <v>18</v>
      </c>
      <c r="E201" t="str">
        <f>IF(COUNTIFS(InputDataset!K:K,"*Disagree*",InputDataset!D:D,Sheet6!D201)=1,"Sharing project status updates",0)</f>
        <v>Sharing project status updates</v>
      </c>
    </row>
    <row r="202" spans="4:5" x14ac:dyDescent="0.25">
      <c r="D202" s="86" t="s">
        <v>16</v>
      </c>
      <c r="E202">
        <f>IF(COUNTIFS(InputDataset!K:K,"*Disagree*",InputDataset!D:D,Sheet6!D202)=1,"Sharing project status updates",0)</f>
        <v>0</v>
      </c>
    </row>
    <row r="203" spans="4:5" x14ac:dyDescent="0.25">
      <c r="D203" s="86" t="s">
        <v>13</v>
      </c>
      <c r="E203">
        <f>IF(COUNTIFS(InputDataset!K:K,"*Disagree*",InputDataset!D:D,Sheet6!D203)=1,"Sharing project status updates",0)</f>
        <v>0</v>
      </c>
    </row>
    <row r="204" spans="4:5" x14ac:dyDescent="0.25">
      <c r="D204" s="86" t="s">
        <v>10</v>
      </c>
      <c r="E204">
        <f>IF(COUNTIFS(InputDataset!K:K,"*Disagree*",InputDataset!D:D,Sheet6!D204)=1,"Sharing project status updates",0)</f>
        <v>0</v>
      </c>
    </row>
    <row r="205" spans="4:5" x14ac:dyDescent="0.25">
      <c r="D205" s="86" t="s">
        <v>8</v>
      </c>
      <c r="E205">
        <f>IF(COUNTIFS(InputDataset!K:K,"*Disagree*",InputDataset!D:D,Sheet6!D205)=1,"Sharing project status updates",0)</f>
        <v>0</v>
      </c>
    </row>
    <row r="206" spans="4:5" x14ac:dyDescent="0.25">
      <c r="D206" s="86" t="s">
        <v>6</v>
      </c>
      <c r="E206">
        <f>IF(COUNTIFS(InputDataset!K:K,"*Disagree*",InputDataset!D:D,Sheet6!D206)=1,"Sharing project status updates",0)</f>
        <v>0</v>
      </c>
    </row>
    <row r="207" spans="4:5" x14ac:dyDescent="0.25">
      <c r="D207" s="86" t="s">
        <v>1</v>
      </c>
      <c r="E207" t="str">
        <f>IF(COUNTIFS(InputDataset!K:K,"*Disagree*",InputDataset!D:D,Sheet6!D207)=1,"Sharing project status updates",0)</f>
        <v>Sharing project status updates</v>
      </c>
    </row>
    <row r="208" spans="4:5" x14ac:dyDescent="0.25">
      <c r="D208" s="87" t="s">
        <v>119</v>
      </c>
      <c r="E208" t="str">
        <f>IF(COUNTIFS(InputDataset!L:L,"*Disagree*",InputDataset!D:D,Sheet6!D208)=1,"On time delivery",0)</f>
        <v>On time delivery</v>
      </c>
    </row>
    <row r="209" spans="4:5" x14ac:dyDescent="0.25">
      <c r="D209" s="87" t="s">
        <v>115</v>
      </c>
      <c r="E209">
        <f>IF(COUNTIFS(InputDataset!L:L,"*Disagree*",InputDataset!D:D,Sheet6!D209)=1,"On time delivery",0)</f>
        <v>0</v>
      </c>
    </row>
    <row r="210" spans="4:5" x14ac:dyDescent="0.25">
      <c r="D210" s="87" t="s">
        <v>111</v>
      </c>
      <c r="E210">
        <f>IF(COUNTIFS(InputDataset!L:L,"*Disagree*",InputDataset!D:D,Sheet6!D210)=1,"On time delivery",0)</f>
        <v>0</v>
      </c>
    </row>
    <row r="211" spans="4:5" x14ac:dyDescent="0.25">
      <c r="D211" s="87" t="s">
        <v>107</v>
      </c>
      <c r="E211">
        <f>IF(COUNTIFS(InputDataset!L:L,"*Disagree*",InputDataset!D:D,Sheet6!D211)=1,"On time delivery",0)</f>
        <v>0</v>
      </c>
    </row>
    <row r="212" spans="4:5" x14ac:dyDescent="0.25">
      <c r="D212" s="87" t="s">
        <v>103</v>
      </c>
      <c r="E212" t="str">
        <f>IF(COUNTIFS(InputDataset!L:L,"*Disagree*",InputDataset!D:D,Sheet6!D212)=1,"On time delivery",0)</f>
        <v>On time delivery</v>
      </c>
    </row>
    <row r="213" spans="4:5" x14ac:dyDescent="0.25">
      <c r="D213" s="87" t="s">
        <v>99</v>
      </c>
      <c r="E213">
        <f>IF(COUNTIFS(InputDataset!L:L,"*Disagree*",InputDataset!D:D,Sheet6!D213)=1,"On time delivery",0)</f>
        <v>0</v>
      </c>
    </row>
    <row r="214" spans="4:5" x14ac:dyDescent="0.25">
      <c r="D214" s="87" t="s">
        <v>97</v>
      </c>
      <c r="E214">
        <f>IF(COUNTIFS(InputDataset!L:L,"*Disagree*",InputDataset!D:D,Sheet6!D214)=1,"On time delivery",0)</f>
        <v>0</v>
      </c>
    </row>
    <row r="215" spans="4:5" x14ac:dyDescent="0.25">
      <c r="D215" s="87" t="s">
        <v>95</v>
      </c>
      <c r="E215" t="str">
        <f>IF(COUNTIFS(InputDataset!L:L,"*Disagree*",InputDataset!D:D,Sheet6!D215)=1,"On time delivery",0)</f>
        <v>On time delivery</v>
      </c>
    </row>
    <row r="216" spans="4:5" x14ac:dyDescent="0.25">
      <c r="D216" s="87" t="s">
        <v>93</v>
      </c>
      <c r="E216">
        <f>IF(COUNTIFS(InputDataset!L:L,"*Disagree*",InputDataset!D:D,Sheet6!D216)=1,"On time delivery",0)</f>
        <v>0</v>
      </c>
    </row>
    <row r="217" spans="4:5" x14ac:dyDescent="0.25">
      <c r="D217" s="87" t="s">
        <v>91</v>
      </c>
      <c r="E217">
        <f>IF(COUNTIFS(InputDataset!L:L,"*Disagree*",InputDataset!D:D,Sheet6!D217)=1,"On time delivery",0)</f>
        <v>0</v>
      </c>
    </row>
    <row r="218" spans="4:5" x14ac:dyDescent="0.25">
      <c r="D218" s="87" t="s">
        <v>89</v>
      </c>
      <c r="E218">
        <f>IF(COUNTIFS(InputDataset!L:L,"*Disagree*",InputDataset!D:D,Sheet6!D218)=1,"On time delivery",0)</f>
        <v>0</v>
      </c>
    </row>
    <row r="219" spans="4:5" x14ac:dyDescent="0.25">
      <c r="D219" s="87" t="s">
        <v>87</v>
      </c>
      <c r="E219" t="str">
        <f>IF(COUNTIFS(InputDataset!L:L,"*Disagree*",InputDataset!D:D,Sheet6!D219)=1,"On time delivery",0)</f>
        <v>On time delivery</v>
      </c>
    </row>
    <row r="220" spans="4:5" x14ac:dyDescent="0.25">
      <c r="D220" s="87" t="s">
        <v>85</v>
      </c>
      <c r="E220">
        <f>IF(COUNTIFS(InputDataset!L:L,"*Disagree*",InputDataset!D:D,Sheet6!D220)=1,"On time delivery",0)</f>
        <v>0</v>
      </c>
    </row>
    <row r="221" spans="4:5" x14ac:dyDescent="0.25">
      <c r="D221" s="87" t="s">
        <v>83</v>
      </c>
      <c r="E221">
        <f>IF(COUNTIFS(InputDataset!L:L,"*Disagree*",InputDataset!D:D,Sheet6!D221)=1,"On time delivery",0)</f>
        <v>0</v>
      </c>
    </row>
    <row r="222" spans="4:5" x14ac:dyDescent="0.25">
      <c r="D222" s="87" t="s">
        <v>81</v>
      </c>
      <c r="E222">
        <f>IF(COUNTIFS(InputDataset!L:L,"*Disagree*",InputDataset!D:D,Sheet6!D222)=1,"On time delivery",0)</f>
        <v>0</v>
      </c>
    </row>
    <row r="223" spans="4:5" x14ac:dyDescent="0.25">
      <c r="D223" s="87" t="s">
        <v>79</v>
      </c>
      <c r="E223">
        <f>IF(COUNTIFS(InputDataset!L:L,"*Disagree*",InputDataset!D:D,Sheet6!D223)=1,"On time delivery",0)</f>
        <v>0</v>
      </c>
    </row>
    <row r="224" spans="4:5" x14ac:dyDescent="0.25">
      <c r="D224" s="87" t="s">
        <v>77</v>
      </c>
      <c r="E224">
        <f>IF(COUNTIFS(InputDataset!L:L,"*Disagree*",InputDataset!D:D,Sheet6!D224)=1,"On time delivery",0)</f>
        <v>0</v>
      </c>
    </row>
    <row r="225" spans="4:5" x14ac:dyDescent="0.25">
      <c r="D225" s="87" t="s">
        <v>74</v>
      </c>
      <c r="E225" t="str">
        <f>IF(COUNTIFS(InputDataset!L:L,"*Disagree*",InputDataset!D:D,Sheet6!D225)=1,"On time delivery",0)</f>
        <v>On time delivery</v>
      </c>
    </row>
    <row r="226" spans="4:5" x14ac:dyDescent="0.25">
      <c r="D226" s="87" t="s">
        <v>72</v>
      </c>
      <c r="E226">
        <f>IF(COUNTIFS(InputDataset!L:L,"*Disagree*",InputDataset!D:D,Sheet6!D226)=1,"On time delivery",0)</f>
        <v>0</v>
      </c>
    </row>
    <row r="227" spans="4:5" x14ac:dyDescent="0.25">
      <c r="D227" s="87" t="s">
        <v>70</v>
      </c>
      <c r="E227">
        <f>IF(COUNTIFS(InputDataset!L:L,"*Disagree*",InputDataset!D:D,Sheet6!D227)=1,"On time delivery",0)</f>
        <v>0</v>
      </c>
    </row>
    <row r="228" spans="4:5" x14ac:dyDescent="0.25">
      <c r="D228" s="87" t="s">
        <v>68</v>
      </c>
      <c r="E228">
        <f>IF(COUNTIFS(InputDataset!L:L,"*Disagree*",InputDataset!D:D,Sheet6!D228)=1,"On time delivery",0)</f>
        <v>0</v>
      </c>
    </row>
    <row r="229" spans="4:5" x14ac:dyDescent="0.25">
      <c r="D229" s="87" t="s">
        <v>66</v>
      </c>
      <c r="E229">
        <f>IF(COUNTIFS(InputDataset!L:L,"*Disagree*",InputDataset!D:D,Sheet6!D229)=1,"On time delivery",0)</f>
        <v>0</v>
      </c>
    </row>
    <row r="230" spans="4:5" x14ac:dyDescent="0.25">
      <c r="D230" s="87" t="s">
        <v>64</v>
      </c>
      <c r="E230">
        <f>IF(COUNTIFS(InputDataset!L:L,"*Disagree*",InputDataset!D:D,Sheet6!D230)=1,"On time delivery",0)</f>
        <v>0</v>
      </c>
    </row>
    <row r="231" spans="4:5" x14ac:dyDescent="0.25">
      <c r="D231" s="87" t="s">
        <v>62</v>
      </c>
      <c r="E231">
        <f>IF(COUNTIFS(InputDataset!L:L,"*Disagree*",InputDataset!D:D,Sheet6!D231)=1,"On time delivery",0)</f>
        <v>0</v>
      </c>
    </row>
    <row r="232" spans="4:5" x14ac:dyDescent="0.25">
      <c r="D232" s="87" t="s">
        <v>60</v>
      </c>
      <c r="E232">
        <f>IF(COUNTIFS(InputDataset!L:L,"*Disagree*",InputDataset!D:D,Sheet6!D232)=1,"On time delivery",0)</f>
        <v>0</v>
      </c>
    </row>
    <row r="233" spans="4:5" x14ac:dyDescent="0.25">
      <c r="D233" s="87" t="s">
        <v>58</v>
      </c>
      <c r="E233">
        <f>IF(COUNTIFS(InputDataset!L:L,"*Disagree*",InputDataset!D:D,Sheet6!D233)=1,"On time delivery",0)</f>
        <v>0</v>
      </c>
    </row>
    <row r="234" spans="4:5" x14ac:dyDescent="0.25">
      <c r="D234" s="87" t="s">
        <v>56</v>
      </c>
      <c r="E234">
        <f>IF(COUNTIFS(InputDataset!L:L,"*Disagree*",InputDataset!D:D,Sheet6!D234)=1,"On time delivery",0)</f>
        <v>0</v>
      </c>
    </row>
    <row r="235" spans="4:5" x14ac:dyDescent="0.25">
      <c r="D235" s="87" t="s">
        <v>54</v>
      </c>
      <c r="E235" t="str">
        <f>IF(COUNTIFS(InputDataset!L:L,"*Disagree*",InputDataset!D:D,Sheet6!D235)=1,"On time delivery",0)</f>
        <v>On time delivery</v>
      </c>
    </row>
    <row r="236" spans="4:5" x14ac:dyDescent="0.25">
      <c r="D236" s="87" t="s">
        <v>52</v>
      </c>
      <c r="E236">
        <f>IF(COUNTIFS(InputDataset!L:L,"*Disagree*",InputDataset!D:D,Sheet6!D236)=1,"On time delivery",0)</f>
        <v>0</v>
      </c>
    </row>
    <row r="237" spans="4:5" x14ac:dyDescent="0.25">
      <c r="D237" s="87" t="s">
        <v>50</v>
      </c>
      <c r="E237">
        <f>IF(COUNTIFS(InputDataset!L:L,"*Disagree*",InputDataset!D:D,Sheet6!D237)=1,"On time delivery",0)</f>
        <v>0</v>
      </c>
    </row>
    <row r="238" spans="4:5" x14ac:dyDescent="0.25">
      <c r="D238" s="87" t="s">
        <v>48</v>
      </c>
      <c r="E238">
        <f>IF(COUNTIFS(InputDataset!L:L,"*Disagree*",InputDataset!D:D,Sheet6!D238)=1,"On time delivery",0)</f>
        <v>0</v>
      </c>
    </row>
    <row r="239" spans="4:5" x14ac:dyDescent="0.25">
      <c r="D239" s="87" t="s">
        <v>46</v>
      </c>
      <c r="E239" t="str">
        <f>IF(COUNTIFS(InputDataset!L:L,"*Disagree*",InputDataset!D:D,Sheet6!D239)=1,"On time delivery",0)</f>
        <v>On time delivery</v>
      </c>
    </row>
    <row r="240" spans="4:5" x14ac:dyDescent="0.25">
      <c r="D240" s="87" t="s">
        <v>44</v>
      </c>
      <c r="E240">
        <f>IF(COUNTIFS(InputDataset!L:L,"*Disagree*",InputDataset!D:D,Sheet6!D240)=1,"On time delivery",0)</f>
        <v>0</v>
      </c>
    </row>
    <row r="241" spans="4:5" x14ac:dyDescent="0.25">
      <c r="D241" s="87" t="s">
        <v>42</v>
      </c>
      <c r="E241">
        <f>IF(COUNTIFS(InputDataset!L:L,"*Disagree*",InputDataset!D:D,Sheet6!D241)=1,"On time delivery",0)</f>
        <v>0</v>
      </c>
    </row>
    <row r="242" spans="4:5" x14ac:dyDescent="0.25">
      <c r="D242" s="87" t="s">
        <v>40</v>
      </c>
      <c r="E242">
        <f>IF(COUNTIFS(InputDataset!L:L,"*Disagree*",InputDataset!D:D,Sheet6!D242)=1,"On time delivery",0)</f>
        <v>0</v>
      </c>
    </row>
    <row r="243" spans="4:5" x14ac:dyDescent="0.25">
      <c r="D243" s="87" t="s">
        <v>38</v>
      </c>
      <c r="E243">
        <f>IF(COUNTIFS(InputDataset!L:L,"*Disagree*",InputDataset!D:D,Sheet6!D243)=1,"On time delivery",0)</f>
        <v>0</v>
      </c>
    </row>
    <row r="244" spans="4:5" x14ac:dyDescent="0.25">
      <c r="D244" s="87" t="s">
        <v>35</v>
      </c>
      <c r="E244">
        <f>IF(COUNTIFS(InputDataset!L:L,"*Disagree*",InputDataset!D:D,Sheet6!D244)=1,"On time delivery",0)</f>
        <v>0</v>
      </c>
    </row>
    <row r="245" spans="4:5" x14ac:dyDescent="0.25">
      <c r="D245" s="87" t="s">
        <v>32</v>
      </c>
      <c r="E245">
        <f>IF(COUNTIFS(InputDataset!L:L,"*Disagree*",InputDataset!D:D,Sheet6!D245)=1,"On time delivery",0)</f>
        <v>0</v>
      </c>
    </row>
    <row r="246" spans="4:5" x14ac:dyDescent="0.25">
      <c r="D246" s="87" t="s">
        <v>30</v>
      </c>
      <c r="E246" t="str">
        <f>IF(COUNTIFS(InputDataset!L:L,"*Disagree*",InputDataset!D:D,Sheet6!D246)=1,"On time delivery",0)</f>
        <v>On time delivery</v>
      </c>
    </row>
    <row r="247" spans="4:5" x14ac:dyDescent="0.25">
      <c r="D247" s="87" t="s">
        <v>28</v>
      </c>
      <c r="E247">
        <f>IF(COUNTIFS(InputDataset!L:L,"*Disagree*",InputDataset!D:D,Sheet6!D247)=1,"On time delivery",0)</f>
        <v>0</v>
      </c>
    </row>
    <row r="248" spans="4:5" x14ac:dyDescent="0.25">
      <c r="D248" s="87" t="s">
        <v>26</v>
      </c>
      <c r="E248" t="str">
        <f>IF(COUNTIFS(InputDataset!L:L,"*Disagree*",InputDataset!D:D,Sheet6!D248)=1,"On time delivery",0)</f>
        <v>On time delivery</v>
      </c>
    </row>
    <row r="249" spans="4:5" x14ac:dyDescent="0.25">
      <c r="D249" s="87" t="s">
        <v>24</v>
      </c>
      <c r="E249">
        <f>IF(COUNTIFS(InputDataset!L:L,"*Disagree*",InputDataset!D:D,Sheet6!D249)=1,"On time delivery",0)</f>
        <v>0</v>
      </c>
    </row>
    <row r="250" spans="4:5" x14ac:dyDescent="0.25">
      <c r="D250" s="87" t="s">
        <v>22</v>
      </c>
      <c r="E250">
        <f>IF(COUNTIFS(InputDataset!L:L,"*Disagree*",InputDataset!D:D,Sheet6!D250)=1,"On time delivery",0)</f>
        <v>0</v>
      </c>
    </row>
    <row r="251" spans="4:5" x14ac:dyDescent="0.25">
      <c r="D251" s="87" t="s">
        <v>20</v>
      </c>
      <c r="E251">
        <f>IF(COUNTIFS(InputDataset!L:L,"*Disagree*",InputDataset!D:D,Sheet6!D251)=1,"On time delivery",0)</f>
        <v>0</v>
      </c>
    </row>
    <row r="252" spans="4:5" x14ac:dyDescent="0.25">
      <c r="D252" s="87" t="s">
        <v>18</v>
      </c>
      <c r="E252" t="str">
        <f>IF(COUNTIFS(InputDataset!L:L,"*Disagree*",InputDataset!D:D,Sheet6!D252)=1,"On time delivery",0)</f>
        <v>On time delivery</v>
      </c>
    </row>
    <row r="253" spans="4:5" x14ac:dyDescent="0.25">
      <c r="D253" s="87" t="s">
        <v>16</v>
      </c>
      <c r="E253">
        <f>IF(COUNTIFS(InputDataset!L:L,"*Disagree*",InputDataset!D:D,Sheet6!D253)=1,"On time delivery",0)</f>
        <v>0</v>
      </c>
    </row>
    <row r="254" spans="4:5" x14ac:dyDescent="0.25">
      <c r="D254" s="87" t="s">
        <v>13</v>
      </c>
      <c r="E254">
        <f>IF(COUNTIFS(InputDataset!L:L,"*Disagree*",InputDataset!D:D,Sheet6!D254)=1,"On time delivery",0)</f>
        <v>0</v>
      </c>
    </row>
    <row r="255" spans="4:5" x14ac:dyDescent="0.25">
      <c r="D255" s="87" t="s">
        <v>10</v>
      </c>
      <c r="E255">
        <f>IF(COUNTIFS(InputDataset!L:L,"*Disagree*",InputDataset!D:D,Sheet6!D255)=1,"On time delivery",0)</f>
        <v>0</v>
      </c>
    </row>
    <row r="256" spans="4:5" x14ac:dyDescent="0.25">
      <c r="D256" s="87" t="s">
        <v>8</v>
      </c>
      <c r="E256" t="str">
        <f>IF(COUNTIFS(InputDataset!L:L,"*Disagree*",InputDataset!D:D,Sheet6!D256)=1,"On time delivery",0)</f>
        <v>On time delivery</v>
      </c>
    </row>
    <row r="257" spans="4:5" x14ac:dyDescent="0.25">
      <c r="D257" s="87" t="s">
        <v>6</v>
      </c>
      <c r="E257">
        <f>IF(COUNTIFS(InputDataset!L:L,"*Disagree*",InputDataset!D:D,Sheet6!D257)=1,"On time delivery",0)</f>
        <v>0</v>
      </c>
    </row>
    <row r="258" spans="4:5" x14ac:dyDescent="0.25">
      <c r="D258" s="87" t="s">
        <v>1</v>
      </c>
      <c r="E258" t="str">
        <f>IF(COUNTIFS(InputDataset!L:L,"*Disagree*",InputDataset!D:D,Sheet6!D258)=1,"On time delivery",0)</f>
        <v>On time delivery</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95F05-3677-409E-9920-573ED7F85604}">
  <dimension ref="A1:AJ52"/>
  <sheetViews>
    <sheetView topLeftCell="E1" workbookViewId="0">
      <selection activeCell="G2" sqref="G2"/>
    </sheetView>
  </sheetViews>
  <sheetFormatPr defaultRowHeight="15" x14ac:dyDescent="0.25"/>
  <cols>
    <col min="3" max="3" width="14.140625" bestFit="1" customWidth="1"/>
    <col min="4" max="4" width="19.140625" bestFit="1" customWidth="1"/>
    <col min="6" max="6" width="28.7109375" bestFit="1" customWidth="1"/>
    <col min="7" max="7" width="19.140625" bestFit="1" customWidth="1"/>
    <col min="8" max="8" width="6.42578125" bestFit="1" customWidth="1"/>
    <col min="9" max="9" width="20.85546875" bestFit="1" customWidth="1"/>
    <col min="10" max="10" width="19.28515625" bestFit="1" customWidth="1"/>
    <col min="11" max="11" width="14.5703125" bestFit="1" customWidth="1"/>
    <col min="12" max="12" width="17.140625" customWidth="1"/>
    <col min="13" max="13" width="21.42578125" customWidth="1"/>
  </cols>
  <sheetData>
    <row r="1" spans="1:36" ht="30.95" customHeight="1" x14ac:dyDescent="0.25">
      <c r="A1" s="50" t="s">
        <v>132</v>
      </c>
      <c r="B1" s="51" t="s">
        <v>131</v>
      </c>
      <c r="C1" s="51" t="s">
        <v>130</v>
      </c>
      <c r="D1" s="51" t="s">
        <v>129</v>
      </c>
      <c r="E1" s="51" t="s">
        <v>128</v>
      </c>
      <c r="F1" s="60" t="s">
        <v>127</v>
      </c>
      <c r="G1" s="50" t="s">
        <v>126</v>
      </c>
      <c r="H1" s="51" t="s">
        <v>125</v>
      </c>
      <c r="I1" s="51" t="s">
        <v>124</v>
      </c>
      <c r="J1" s="51" t="s">
        <v>123</v>
      </c>
      <c r="K1" s="52" t="s">
        <v>122</v>
      </c>
      <c r="L1" s="62" t="s">
        <v>121</v>
      </c>
      <c r="M1" s="61" t="s">
        <v>120</v>
      </c>
      <c r="AE1" t="s">
        <v>117</v>
      </c>
    </row>
    <row r="2" spans="1:36" x14ac:dyDescent="0.25">
      <c r="A2" s="53" t="s">
        <v>4</v>
      </c>
      <c r="B2" s="13" t="s">
        <v>4</v>
      </c>
      <c r="C2" s="13" t="s">
        <v>11</v>
      </c>
      <c r="D2" s="49" t="s">
        <v>119</v>
      </c>
      <c r="E2" s="26"/>
      <c r="F2" s="65" t="s">
        <v>118</v>
      </c>
      <c r="G2" s="67" t="s">
        <v>117</v>
      </c>
      <c r="H2" s="26"/>
      <c r="I2" s="26"/>
      <c r="J2" s="26"/>
      <c r="K2" s="54"/>
      <c r="L2" s="63"/>
      <c r="M2" s="54"/>
      <c r="AE2" t="s">
        <v>113</v>
      </c>
      <c r="AH2">
        <v>1</v>
      </c>
      <c r="AJ2" t="s">
        <v>112</v>
      </c>
    </row>
    <row r="3" spans="1:36" x14ac:dyDescent="0.25">
      <c r="A3" s="53" t="s">
        <v>4</v>
      </c>
      <c r="B3" s="14" t="s">
        <v>4</v>
      </c>
      <c r="C3" s="14" t="s">
        <v>11</v>
      </c>
      <c r="D3" s="49" t="s">
        <v>115</v>
      </c>
      <c r="E3" s="26"/>
      <c r="F3" s="65" t="s">
        <v>114</v>
      </c>
      <c r="G3" s="67"/>
      <c r="H3" s="26"/>
      <c r="I3" s="26"/>
      <c r="J3" s="26"/>
      <c r="K3" s="54"/>
      <c r="L3" s="63"/>
      <c r="M3" s="54"/>
      <c r="AE3" t="s">
        <v>109</v>
      </c>
      <c r="AH3">
        <v>2</v>
      </c>
      <c r="AJ3" t="s">
        <v>108</v>
      </c>
    </row>
    <row r="4" spans="1:36" x14ac:dyDescent="0.25">
      <c r="A4" s="53" t="s">
        <v>4</v>
      </c>
      <c r="B4" s="13" t="s">
        <v>33</v>
      </c>
      <c r="C4" s="13" t="s">
        <v>11</v>
      </c>
      <c r="D4" s="49" t="s">
        <v>111</v>
      </c>
      <c r="E4" s="26"/>
      <c r="F4" s="65" t="s">
        <v>110</v>
      </c>
      <c r="G4" s="67"/>
      <c r="H4" s="26"/>
      <c r="I4" s="26"/>
      <c r="J4" s="26"/>
      <c r="K4" s="54"/>
      <c r="L4" s="63"/>
      <c r="M4" s="54"/>
      <c r="AE4" t="s">
        <v>105</v>
      </c>
      <c r="AH4">
        <v>3</v>
      </c>
      <c r="AJ4" t="s">
        <v>104</v>
      </c>
    </row>
    <row r="5" spans="1:36" x14ac:dyDescent="0.25">
      <c r="A5" s="53" t="s">
        <v>4</v>
      </c>
      <c r="B5" s="14" t="s">
        <v>33</v>
      </c>
      <c r="C5" s="14" t="s">
        <v>11</v>
      </c>
      <c r="D5" s="49" t="s">
        <v>107</v>
      </c>
      <c r="E5" s="26"/>
      <c r="F5" s="65" t="s">
        <v>106</v>
      </c>
      <c r="G5" s="67"/>
      <c r="H5" s="26"/>
      <c r="I5" s="26"/>
      <c r="J5" s="26"/>
      <c r="K5" s="54"/>
      <c r="L5" s="63"/>
      <c r="M5" s="54"/>
      <c r="AE5" t="s">
        <v>101</v>
      </c>
      <c r="AH5">
        <v>4</v>
      </c>
      <c r="AJ5" t="s">
        <v>100</v>
      </c>
    </row>
    <row r="6" spans="1:36" x14ac:dyDescent="0.25">
      <c r="A6" s="53" t="s">
        <v>4</v>
      </c>
      <c r="B6" s="13" t="s">
        <v>4</v>
      </c>
      <c r="C6" s="13" t="s">
        <v>11</v>
      </c>
      <c r="D6" s="49" t="s">
        <v>103</v>
      </c>
      <c r="E6" s="26"/>
      <c r="F6" s="65" t="s">
        <v>102</v>
      </c>
      <c r="G6" s="67"/>
      <c r="H6" s="26"/>
      <c r="I6" s="26"/>
      <c r="J6" s="26"/>
      <c r="K6" s="54"/>
      <c r="L6" s="63"/>
      <c r="M6" s="54"/>
      <c r="AH6">
        <v>5</v>
      </c>
      <c r="AJ6" t="s">
        <v>116</v>
      </c>
    </row>
    <row r="7" spans="1:36" x14ac:dyDescent="0.25">
      <c r="A7" s="53" t="s">
        <v>4</v>
      </c>
      <c r="B7" s="14" t="s">
        <v>4</v>
      </c>
      <c r="C7" s="14" t="s">
        <v>11</v>
      </c>
      <c r="D7" s="49" t="s">
        <v>99</v>
      </c>
      <c r="E7" s="26"/>
      <c r="F7" s="65" t="s">
        <v>98</v>
      </c>
      <c r="G7" s="67"/>
      <c r="H7" s="26"/>
      <c r="I7" s="26"/>
      <c r="J7" s="26"/>
      <c r="K7" s="54"/>
      <c r="L7" s="63"/>
      <c r="M7" s="54"/>
      <c r="AH7">
        <v>6</v>
      </c>
    </row>
    <row r="8" spans="1:36" x14ac:dyDescent="0.25">
      <c r="A8" s="53" t="s">
        <v>4</v>
      </c>
      <c r="B8" s="13" t="s">
        <v>4</v>
      </c>
      <c r="C8" s="13" t="s">
        <v>11</v>
      </c>
      <c r="D8" s="49" t="s">
        <v>97</v>
      </c>
      <c r="E8" s="26"/>
      <c r="F8" s="65" t="s">
        <v>96</v>
      </c>
      <c r="G8" s="67"/>
      <c r="H8" s="26"/>
      <c r="I8" s="26"/>
      <c r="J8" s="26"/>
      <c r="K8" s="54"/>
      <c r="L8" s="63"/>
      <c r="M8" s="54"/>
      <c r="AH8">
        <v>7</v>
      </c>
    </row>
    <row r="9" spans="1:36" x14ac:dyDescent="0.25">
      <c r="A9" s="53" t="s">
        <v>4</v>
      </c>
      <c r="B9" s="14" t="s">
        <v>4</v>
      </c>
      <c r="C9" s="14" t="s">
        <v>11</v>
      </c>
      <c r="D9" s="49" t="s">
        <v>95</v>
      </c>
      <c r="E9" s="26"/>
      <c r="F9" s="65" t="s">
        <v>94</v>
      </c>
      <c r="G9" s="67"/>
      <c r="H9" s="26"/>
      <c r="I9" s="26"/>
      <c r="J9" s="26"/>
      <c r="K9" s="54"/>
      <c r="L9" s="63"/>
      <c r="M9" s="54"/>
      <c r="AH9">
        <v>8</v>
      </c>
    </row>
    <row r="10" spans="1:36" x14ac:dyDescent="0.25">
      <c r="A10" s="53" t="s">
        <v>4</v>
      </c>
      <c r="B10" s="13" t="s">
        <v>4</v>
      </c>
      <c r="C10" s="13" t="s">
        <v>11</v>
      </c>
      <c r="D10" s="49" t="s">
        <v>93</v>
      </c>
      <c r="E10" s="26"/>
      <c r="F10" s="65" t="s">
        <v>92</v>
      </c>
      <c r="G10" s="67"/>
      <c r="H10" s="26"/>
      <c r="I10" s="26"/>
      <c r="J10" s="26"/>
      <c r="K10" s="54"/>
      <c r="L10" s="63"/>
      <c r="M10" s="54"/>
      <c r="AH10">
        <v>9</v>
      </c>
    </row>
    <row r="11" spans="1:36" x14ac:dyDescent="0.25">
      <c r="A11" s="53" t="s">
        <v>4</v>
      </c>
      <c r="B11" s="14" t="s">
        <v>36</v>
      </c>
      <c r="C11" s="14" t="s">
        <v>11</v>
      </c>
      <c r="D11" s="49" t="s">
        <v>91</v>
      </c>
      <c r="E11" s="26"/>
      <c r="F11" s="65" t="s">
        <v>90</v>
      </c>
      <c r="G11" s="67"/>
      <c r="H11" s="26"/>
      <c r="I11" s="26"/>
      <c r="J11" s="26"/>
      <c r="K11" s="54"/>
      <c r="L11" s="63"/>
      <c r="M11" s="54"/>
      <c r="AH11">
        <v>10</v>
      </c>
    </row>
    <row r="12" spans="1:36" x14ac:dyDescent="0.25">
      <c r="A12" s="53" t="s">
        <v>4</v>
      </c>
      <c r="B12" s="13" t="s">
        <v>75</v>
      </c>
      <c r="C12" s="13" t="s">
        <v>11</v>
      </c>
      <c r="D12" s="49" t="s">
        <v>89</v>
      </c>
      <c r="E12" s="26"/>
      <c r="F12" s="65" t="s">
        <v>88</v>
      </c>
      <c r="G12" s="67"/>
      <c r="H12" s="26"/>
      <c r="I12" s="26"/>
      <c r="J12" s="26"/>
      <c r="K12" s="54"/>
      <c r="L12" s="63"/>
      <c r="M12" s="54"/>
    </row>
    <row r="13" spans="1:36" x14ac:dyDescent="0.25">
      <c r="A13" s="53" t="s">
        <v>4</v>
      </c>
      <c r="B13" s="14" t="s">
        <v>14</v>
      </c>
      <c r="C13" s="14" t="s">
        <v>11</v>
      </c>
      <c r="D13" s="49" t="s">
        <v>87</v>
      </c>
      <c r="E13" s="26"/>
      <c r="F13" s="65" t="s">
        <v>86</v>
      </c>
      <c r="G13" s="67"/>
      <c r="H13" s="26"/>
      <c r="I13" s="26"/>
      <c r="J13" s="26"/>
      <c r="K13" s="54"/>
      <c r="L13" s="63"/>
      <c r="M13" s="54"/>
    </row>
    <row r="14" spans="1:36" x14ac:dyDescent="0.25">
      <c r="A14" s="53" t="s">
        <v>4</v>
      </c>
      <c r="B14" s="13" t="s">
        <v>4</v>
      </c>
      <c r="C14" s="13" t="s">
        <v>11</v>
      </c>
      <c r="D14" s="49" t="s">
        <v>85</v>
      </c>
      <c r="E14" s="26"/>
      <c r="F14" s="65" t="s">
        <v>84</v>
      </c>
      <c r="G14" s="67"/>
      <c r="H14" s="26"/>
      <c r="I14" s="26"/>
      <c r="J14" s="26"/>
      <c r="K14" s="54"/>
      <c r="L14" s="63"/>
      <c r="M14" s="54"/>
    </row>
    <row r="15" spans="1:36" x14ac:dyDescent="0.25">
      <c r="A15" s="53" t="s">
        <v>4</v>
      </c>
      <c r="B15" s="14" t="s">
        <v>14</v>
      </c>
      <c r="C15" s="14" t="s">
        <v>11</v>
      </c>
      <c r="D15" s="49" t="s">
        <v>83</v>
      </c>
      <c r="E15" s="26"/>
      <c r="F15" s="65" t="s">
        <v>82</v>
      </c>
      <c r="G15" s="67"/>
      <c r="H15" s="26"/>
      <c r="I15" s="26"/>
      <c r="J15" s="26"/>
      <c r="K15" s="54"/>
      <c r="L15" s="63"/>
      <c r="M15" s="54"/>
    </row>
    <row r="16" spans="1:36" x14ac:dyDescent="0.25">
      <c r="A16" s="53" t="s">
        <v>4</v>
      </c>
      <c r="B16" s="13" t="s">
        <v>14</v>
      </c>
      <c r="C16" s="13" t="s">
        <v>11</v>
      </c>
      <c r="D16" s="49" t="s">
        <v>81</v>
      </c>
      <c r="E16" s="26"/>
      <c r="F16" s="65" t="s">
        <v>80</v>
      </c>
      <c r="G16" s="67"/>
      <c r="H16" s="26"/>
      <c r="I16" s="26"/>
      <c r="J16" s="26"/>
      <c r="K16" s="54"/>
      <c r="L16" s="63"/>
      <c r="M16" s="54"/>
    </row>
    <row r="17" spans="1:13" x14ac:dyDescent="0.25">
      <c r="A17" s="53" t="s">
        <v>4</v>
      </c>
      <c r="B17" s="14" t="s">
        <v>14</v>
      </c>
      <c r="C17" s="14" t="s">
        <v>11</v>
      </c>
      <c r="D17" s="49" t="s">
        <v>79</v>
      </c>
      <c r="E17" s="26"/>
      <c r="F17" s="65" t="s">
        <v>78</v>
      </c>
      <c r="G17" s="67"/>
      <c r="H17" s="26"/>
      <c r="I17" s="26"/>
      <c r="J17" s="26"/>
      <c r="K17" s="54"/>
      <c r="L17" s="63"/>
      <c r="M17" s="54"/>
    </row>
    <row r="18" spans="1:13" x14ac:dyDescent="0.25">
      <c r="A18" s="53" t="s">
        <v>4</v>
      </c>
      <c r="B18" s="13" t="s">
        <v>14</v>
      </c>
      <c r="C18" s="13" t="s">
        <v>11</v>
      </c>
      <c r="D18" s="49" t="s">
        <v>77</v>
      </c>
      <c r="E18" s="26"/>
      <c r="F18" s="65" t="s">
        <v>76</v>
      </c>
      <c r="G18" s="67"/>
      <c r="H18" s="26"/>
      <c r="I18" s="26"/>
      <c r="J18" s="26"/>
      <c r="K18" s="54"/>
      <c r="L18" s="63"/>
      <c r="M18" s="54"/>
    </row>
    <row r="19" spans="1:13" x14ac:dyDescent="0.25">
      <c r="A19" s="53" t="s">
        <v>4</v>
      </c>
      <c r="B19" s="14" t="s">
        <v>75</v>
      </c>
      <c r="C19" s="14" t="s">
        <v>11</v>
      </c>
      <c r="D19" s="49" t="s">
        <v>74</v>
      </c>
      <c r="E19" s="26"/>
      <c r="F19" s="65" t="s">
        <v>73</v>
      </c>
      <c r="G19" s="67"/>
      <c r="H19" s="26"/>
      <c r="I19" s="26"/>
      <c r="J19" s="26"/>
      <c r="K19" s="54"/>
      <c r="L19" s="63"/>
      <c r="M19" s="54"/>
    </row>
    <row r="20" spans="1:13" x14ac:dyDescent="0.25">
      <c r="A20" s="53" t="s">
        <v>4</v>
      </c>
      <c r="B20" s="13" t="s">
        <v>14</v>
      </c>
      <c r="C20" s="13" t="s">
        <v>11</v>
      </c>
      <c r="D20" s="49" t="s">
        <v>72</v>
      </c>
      <c r="E20" s="26"/>
      <c r="F20" s="65" t="s">
        <v>71</v>
      </c>
      <c r="G20" s="67"/>
      <c r="H20" s="26"/>
      <c r="I20" s="26"/>
      <c r="J20" s="26"/>
      <c r="K20" s="54"/>
      <c r="L20" s="63"/>
      <c r="M20" s="54"/>
    </row>
    <row r="21" spans="1:13" x14ac:dyDescent="0.25">
      <c r="A21" s="53" t="s">
        <v>4</v>
      </c>
      <c r="B21" s="14" t="s">
        <v>14</v>
      </c>
      <c r="C21" s="14" t="s">
        <v>11</v>
      </c>
      <c r="D21" s="49" t="s">
        <v>70</v>
      </c>
      <c r="E21" s="26"/>
      <c r="F21" s="65" t="s">
        <v>69</v>
      </c>
      <c r="G21" s="67"/>
      <c r="H21" s="26"/>
      <c r="I21" s="26"/>
      <c r="J21" s="26"/>
      <c r="K21" s="54"/>
      <c r="L21" s="63"/>
      <c r="M21" s="54"/>
    </row>
    <row r="22" spans="1:13" x14ac:dyDescent="0.25">
      <c r="A22" s="53" t="s">
        <v>4</v>
      </c>
      <c r="B22" s="13" t="s">
        <v>4</v>
      </c>
      <c r="C22" s="13" t="s">
        <v>11</v>
      </c>
      <c r="D22" s="49" t="s">
        <v>68</v>
      </c>
      <c r="E22" s="26"/>
      <c r="F22" s="65" t="s">
        <v>67</v>
      </c>
      <c r="G22" s="67"/>
      <c r="H22" s="26"/>
      <c r="I22" s="26"/>
      <c r="J22" s="26"/>
      <c r="K22" s="54"/>
      <c r="L22" s="63"/>
      <c r="M22" s="54"/>
    </row>
    <row r="23" spans="1:13" x14ac:dyDescent="0.25">
      <c r="A23" s="53" t="s">
        <v>4</v>
      </c>
      <c r="B23" s="14" t="s">
        <v>36</v>
      </c>
      <c r="C23" s="14" t="s">
        <v>11</v>
      </c>
      <c r="D23" s="49" t="s">
        <v>66</v>
      </c>
      <c r="E23" s="26"/>
      <c r="F23" s="65" t="s">
        <v>65</v>
      </c>
      <c r="G23" s="67"/>
      <c r="H23" s="26"/>
      <c r="I23" s="26"/>
      <c r="J23" s="26"/>
      <c r="K23" s="54"/>
      <c r="L23" s="63"/>
      <c r="M23" s="54"/>
    </row>
    <row r="24" spans="1:13" x14ac:dyDescent="0.25">
      <c r="A24" s="53" t="s">
        <v>4</v>
      </c>
      <c r="B24" s="13" t="s">
        <v>4</v>
      </c>
      <c r="C24" s="13" t="s">
        <v>11</v>
      </c>
      <c r="D24" s="49" t="s">
        <v>64</v>
      </c>
      <c r="E24" s="26"/>
      <c r="F24" s="65" t="s">
        <v>63</v>
      </c>
      <c r="G24" s="67"/>
      <c r="H24" s="26"/>
      <c r="I24" s="26"/>
      <c r="J24" s="26"/>
      <c r="K24" s="54"/>
      <c r="L24" s="63"/>
      <c r="M24" s="54"/>
    </row>
    <row r="25" spans="1:13" x14ac:dyDescent="0.25">
      <c r="A25" s="53" t="s">
        <v>4</v>
      </c>
      <c r="B25" s="14" t="s">
        <v>33</v>
      </c>
      <c r="C25" s="14" t="s">
        <v>11</v>
      </c>
      <c r="D25" s="49" t="s">
        <v>62</v>
      </c>
      <c r="E25" s="26"/>
      <c r="F25" s="65" t="s">
        <v>61</v>
      </c>
      <c r="G25" s="67"/>
      <c r="H25" s="26"/>
      <c r="I25" s="26"/>
      <c r="J25" s="26"/>
      <c r="K25" s="54"/>
      <c r="L25" s="63"/>
      <c r="M25" s="54"/>
    </row>
    <row r="26" spans="1:13" x14ac:dyDescent="0.25">
      <c r="A26" s="53" t="s">
        <v>4</v>
      </c>
      <c r="B26" s="13" t="s">
        <v>36</v>
      </c>
      <c r="C26" s="13" t="s">
        <v>11</v>
      </c>
      <c r="D26" s="49" t="s">
        <v>60</v>
      </c>
      <c r="E26" s="26"/>
      <c r="F26" s="65" t="s">
        <v>59</v>
      </c>
      <c r="G26" s="67"/>
      <c r="H26" s="26"/>
      <c r="I26" s="26"/>
      <c r="J26" s="26"/>
      <c r="K26" s="54"/>
      <c r="L26" s="63"/>
      <c r="M26" s="54"/>
    </row>
    <row r="27" spans="1:13" x14ac:dyDescent="0.25">
      <c r="A27" s="53" t="s">
        <v>4</v>
      </c>
      <c r="B27" s="14" t="s">
        <v>36</v>
      </c>
      <c r="C27" s="14" t="s">
        <v>11</v>
      </c>
      <c r="D27" s="49" t="s">
        <v>58</v>
      </c>
      <c r="E27" s="26"/>
      <c r="F27" s="65" t="s">
        <v>57</v>
      </c>
      <c r="G27" s="67"/>
      <c r="H27" s="26"/>
      <c r="I27" s="26"/>
      <c r="J27" s="26"/>
      <c r="K27" s="54"/>
      <c r="L27" s="63"/>
      <c r="M27" s="54"/>
    </row>
    <row r="28" spans="1:13" x14ac:dyDescent="0.25">
      <c r="A28" s="53" t="s">
        <v>4</v>
      </c>
      <c r="B28" s="13" t="s">
        <v>36</v>
      </c>
      <c r="C28" s="13" t="s">
        <v>11</v>
      </c>
      <c r="D28" s="49" t="s">
        <v>56</v>
      </c>
      <c r="E28" s="26"/>
      <c r="F28" s="65" t="s">
        <v>55</v>
      </c>
      <c r="G28" s="67"/>
      <c r="H28" s="26"/>
      <c r="I28" s="26"/>
      <c r="J28" s="26"/>
      <c r="K28" s="54"/>
      <c r="L28" s="63"/>
      <c r="M28" s="54"/>
    </row>
    <row r="29" spans="1:13" x14ac:dyDescent="0.25">
      <c r="A29" s="53" t="s">
        <v>4</v>
      </c>
      <c r="B29" s="14" t="s">
        <v>36</v>
      </c>
      <c r="C29" s="14" t="s">
        <v>11</v>
      </c>
      <c r="D29" s="49" t="s">
        <v>54</v>
      </c>
      <c r="E29" s="26"/>
      <c r="F29" s="65" t="s">
        <v>53</v>
      </c>
      <c r="G29" s="67"/>
      <c r="H29" s="26"/>
      <c r="I29" s="26"/>
      <c r="J29" s="26"/>
      <c r="K29" s="54"/>
      <c r="L29" s="63"/>
      <c r="M29" s="54"/>
    </row>
    <row r="30" spans="1:13" x14ac:dyDescent="0.25">
      <c r="A30" s="53" t="s">
        <v>4</v>
      </c>
      <c r="B30" s="13" t="s">
        <v>4</v>
      </c>
      <c r="C30" s="13" t="s">
        <v>11</v>
      </c>
      <c r="D30" s="49" t="s">
        <v>52</v>
      </c>
      <c r="E30" s="26"/>
      <c r="F30" s="65" t="s">
        <v>51</v>
      </c>
      <c r="G30" s="67"/>
      <c r="H30" s="26"/>
      <c r="I30" s="26"/>
      <c r="J30" s="26"/>
      <c r="K30" s="54"/>
      <c r="L30" s="63"/>
      <c r="M30" s="54"/>
    </row>
    <row r="31" spans="1:13" x14ac:dyDescent="0.25">
      <c r="A31" s="53" t="s">
        <v>4</v>
      </c>
      <c r="B31" s="14" t="s">
        <v>14</v>
      </c>
      <c r="C31" s="14" t="s">
        <v>11</v>
      </c>
      <c r="D31" s="49" t="s">
        <v>50</v>
      </c>
      <c r="E31" s="26"/>
      <c r="F31" s="65" t="s">
        <v>49</v>
      </c>
      <c r="G31" s="67"/>
      <c r="H31" s="26"/>
      <c r="I31" s="26"/>
      <c r="J31" s="26"/>
      <c r="K31" s="54"/>
      <c r="L31" s="63"/>
      <c r="M31" s="54"/>
    </row>
    <row r="32" spans="1:13" x14ac:dyDescent="0.25">
      <c r="A32" s="53" t="s">
        <v>4</v>
      </c>
      <c r="B32" s="13" t="s">
        <v>14</v>
      </c>
      <c r="C32" s="13" t="s">
        <v>11</v>
      </c>
      <c r="D32" s="49" t="s">
        <v>48</v>
      </c>
      <c r="E32" s="26"/>
      <c r="F32" s="65" t="s">
        <v>47</v>
      </c>
      <c r="G32" s="67"/>
      <c r="H32" s="26"/>
      <c r="I32" s="26"/>
      <c r="J32" s="26"/>
      <c r="K32" s="54"/>
      <c r="L32" s="63"/>
      <c r="M32" s="54"/>
    </row>
    <row r="33" spans="1:13" x14ac:dyDescent="0.25">
      <c r="A33" s="53" t="s">
        <v>4</v>
      </c>
      <c r="B33" s="14" t="s">
        <v>36</v>
      </c>
      <c r="C33" s="14" t="s">
        <v>11</v>
      </c>
      <c r="D33" s="49" t="s">
        <v>46</v>
      </c>
      <c r="E33" s="26"/>
      <c r="F33" s="65" t="s">
        <v>45</v>
      </c>
      <c r="G33" s="67"/>
      <c r="H33" s="26"/>
      <c r="I33" s="26"/>
      <c r="J33" s="26"/>
      <c r="K33" s="54"/>
      <c r="L33" s="63"/>
      <c r="M33" s="54"/>
    </row>
    <row r="34" spans="1:13" x14ac:dyDescent="0.25">
      <c r="A34" s="53" t="s">
        <v>4</v>
      </c>
      <c r="B34" s="13" t="s">
        <v>4</v>
      </c>
      <c r="C34" s="13" t="s">
        <v>11</v>
      </c>
      <c r="D34" s="49" t="s">
        <v>44</v>
      </c>
      <c r="E34" s="26"/>
      <c r="F34" s="65" t="s">
        <v>43</v>
      </c>
      <c r="G34" s="67"/>
      <c r="H34" s="26"/>
      <c r="I34" s="26"/>
      <c r="J34" s="26"/>
      <c r="K34" s="54"/>
      <c r="L34" s="63"/>
      <c r="M34" s="54"/>
    </row>
    <row r="35" spans="1:13" x14ac:dyDescent="0.25">
      <c r="A35" s="53" t="s">
        <v>4</v>
      </c>
      <c r="B35" s="14" t="s">
        <v>36</v>
      </c>
      <c r="C35" s="14" t="s">
        <v>11</v>
      </c>
      <c r="D35" s="49" t="s">
        <v>42</v>
      </c>
      <c r="E35" s="26"/>
      <c r="F35" s="65" t="s">
        <v>41</v>
      </c>
      <c r="G35" s="67"/>
      <c r="H35" s="26"/>
      <c r="I35" s="26"/>
      <c r="J35" s="26"/>
      <c r="K35" s="54"/>
      <c r="L35" s="63"/>
      <c r="M35" s="54"/>
    </row>
    <row r="36" spans="1:13" x14ac:dyDescent="0.25">
      <c r="A36" s="53" t="s">
        <v>4</v>
      </c>
      <c r="B36" s="13" t="s">
        <v>36</v>
      </c>
      <c r="C36" s="13" t="s">
        <v>11</v>
      </c>
      <c r="D36" s="49" t="s">
        <v>40</v>
      </c>
      <c r="E36" s="26"/>
      <c r="F36" s="65" t="s">
        <v>39</v>
      </c>
      <c r="G36" s="67"/>
      <c r="H36" s="26"/>
      <c r="I36" s="26"/>
      <c r="J36" s="26"/>
      <c r="K36" s="54"/>
      <c r="L36" s="63"/>
      <c r="M36" s="54"/>
    </row>
    <row r="37" spans="1:13" x14ac:dyDescent="0.25">
      <c r="A37" s="53" t="s">
        <v>4</v>
      </c>
      <c r="B37" s="14" t="s">
        <v>36</v>
      </c>
      <c r="C37" s="14" t="s">
        <v>11</v>
      </c>
      <c r="D37" s="49" t="s">
        <v>38</v>
      </c>
      <c r="E37" s="26"/>
      <c r="F37" s="65" t="s">
        <v>37</v>
      </c>
      <c r="G37" s="67"/>
      <c r="H37" s="26"/>
      <c r="I37" s="26"/>
      <c r="J37" s="26"/>
      <c r="K37" s="54"/>
      <c r="L37" s="63"/>
      <c r="M37" s="54"/>
    </row>
    <row r="38" spans="1:13" x14ac:dyDescent="0.25">
      <c r="A38" s="53" t="s">
        <v>4</v>
      </c>
      <c r="B38" s="13" t="s">
        <v>36</v>
      </c>
      <c r="C38" s="13" t="s">
        <v>11</v>
      </c>
      <c r="D38" s="49" t="s">
        <v>35</v>
      </c>
      <c r="E38" s="26"/>
      <c r="F38" s="65" t="s">
        <v>34</v>
      </c>
      <c r="G38" s="67"/>
      <c r="H38" s="26"/>
      <c r="I38" s="26"/>
      <c r="J38" s="26"/>
      <c r="K38" s="54"/>
      <c r="L38" s="63"/>
      <c r="M38" s="54"/>
    </row>
    <row r="39" spans="1:13" x14ac:dyDescent="0.25">
      <c r="A39" s="53" t="s">
        <v>4</v>
      </c>
      <c r="B39" s="14" t="s">
        <v>33</v>
      </c>
      <c r="C39" s="14" t="s">
        <v>11</v>
      </c>
      <c r="D39" s="49" t="s">
        <v>32</v>
      </c>
      <c r="E39" s="26"/>
      <c r="F39" s="65" t="s">
        <v>31</v>
      </c>
      <c r="G39" s="67"/>
      <c r="H39" s="26"/>
      <c r="I39" s="26"/>
      <c r="J39" s="26"/>
      <c r="K39" s="54"/>
      <c r="L39" s="63"/>
      <c r="M39" s="54"/>
    </row>
    <row r="40" spans="1:13" x14ac:dyDescent="0.25">
      <c r="A40" s="53" t="s">
        <v>4</v>
      </c>
      <c r="B40" s="13" t="s">
        <v>3</v>
      </c>
      <c r="C40" s="13" t="s">
        <v>11</v>
      </c>
      <c r="D40" s="49" t="s">
        <v>30</v>
      </c>
      <c r="E40" s="26"/>
      <c r="F40" s="65" t="s">
        <v>29</v>
      </c>
      <c r="G40" s="67"/>
      <c r="H40" s="26"/>
      <c r="I40" s="26"/>
      <c r="J40" s="26"/>
      <c r="K40" s="54"/>
      <c r="L40" s="63"/>
      <c r="M40" s="54"/>
    </row>
    <row r="41" spans="1:13" x14ac:dyDescent="0.25">
      <c r="A41" s="53" t="s">
        <v>4</v>
      </c>
      <c r="B41" s="14" t="s">
        <v>4</v>
      </c>
      <c r="C41" s="14" t="s">
        <v>11</v>
      </c>
      <c r="D41" s="49" t="s">
        <v>28</v>
      </c>
      <c r="E41" s="26"/>
      <c r="F41" s="65" t="s">
        <v>27</v>
      </c>
      <c r="G41" s="67"/>
      <c r="H41" s="26"/>
      <c r="I41" s="26"/>
      <c r="J41" s="26"/>
      <c r="K41" s="54"/>
      <c r="L41" s="63"/>
      <c r="M41" s="54"/>
    </row>
    <row r="42" spans="1:13" x14ac:dyDescent="0.25">
      <c r="A42" s="53" t="s">
        <v>4</v>
      </c>
      <c r="B42" s="13" t="s">
        <v>4</v>
      </c>
      <c r="C42" s="13" t="s">
        <v>11</v>
      </c>
      <c r="D42" s="49" t="s">
        <v>26</v>
      </c>
      <c r="E42" s="26"/>
      <c r="F42" s="65" t="s">
        <v>25</v>
      </c>
      <c r="G42" s="67"/>
      <c r="H42" s="26"/>
      <c r="I42" s="26"/>
      <c r="J42" s="26"/>
      <c r="K42" s="54"/>
      <c r="L42" s="63"/>
      <c r="M42" s="54"/>
    </row>
    <row r="43" spans="1:13" x14ac:dyDescent="0.25">
      <c r="A43" s="53" t="s">
        <v>4</v>
      </c>
      <c r="B43" s="14" t="s">
        <v>14</v>
      </c>
      <c r="C43" s="14" t="s">
        <v>11</v>
      </c>
      <c r="D43" s="49" t="s">
        <v>24</v>
      </c>
      <c r="E43" s="26"/>
      <c r="F43" s="65" t="s">
        <v>23</v>
      </c>
      <c r="G43" s="67"/>
      <c r="H43" s="26"/>
      <c r="I43" s="26"/>
      <c r="J43" s="26"/>
      <c r="K43" s="54"/>
      <c r="L43" s="63"/>
      <c r="M43" s="54"/>
    </row>
    <row r="44" spans="1:13" x14ac:dyDescent="0.25">
      <c r="A44" s="53" t="s">
        <v>4</v>
      </c>
      <c r="B44" s="13" t="s">
        <v>14</v>
      </c>
      <c r="C44" s="13" t="s">
        <v>11</v>
      </c>
      <c r="D44" s="49" t="s">
        <v>22</v>
      </c>
      <c r="E44" s="26"/>
      <c r="F44" s="65" t="s">
        <v>21</v>
      </c>
      <c r="G44" s="67"/>
      <c r="H44" s="26"/>
      <c r="I44" s="26"/>
      <c r="J44" s="26"/>
      <c r="K44" s="54"/>
      <c r="L44" s="63"/>
      <c r="M44" s="54"/>
    </row>
    <row r="45" spans="1:13" x14ac:dyDescent="0.25">
      <c r="A45" s="53" t="s">
        <v>4</v>
      </c>
      <c r="B45" s="14" t="s">
        <v>14</v>
      </c>
      <c r="C45" s="14" t="s">
        <v>11</v>
      </c>
      <c r="D45" s="49" t="s">
        <v>20</v>
      </c>
      <c r="E45" s="26"/>
      <c r="F45" s="65" t="s">
        <v>19</v>
      </c>
      <c r="G45" s="67"/>
      <c r="H45" s="26"/>
      <c r="I45" s="26"/>
      <c r="J45" s="26"/>
      <c r="K45" s="54"/>
      <c r="L45" s="63"/>
      <c r="M45" s="54"/>
    </row>
    <row r="46" spans="1:13" x14ac:dyDescent="0.25">
      <c r="A46" s="53" t="s">
        <v>4</v>
      </c>
      <c r="B46" s="13" t="s">
        <v>4</v>
      </c>
      <c r="C46" s="13" t="s">
        <v>11</v>
      </c>
      <c r="D46" s="49" t="s">
        <v>18</v>
      </c>
      <c r="E46" s="26"/>
      <c r="F46" s="65" t="s">
        <v>17</v>
      </c>
      <c r="G46" s="67"/>
      <c r="H46" s="26"/>
      <c r="I46" s="26"/>
      <c r="J46" s="26"/>
      <c r="K46" s="54"/>
      <c r="L46" s="63"/>
      <c r="M46" s="54"/>
    </row>
    <row r="47" spans="1:13" x14ac:dyDescent="0.25">
      <c r="A47" s="53" t="s">
        <v>4</v>
      </c>
      <c r="B47" s="14" t="s">
        <v>4</v>
      </c>
      <c r="C47" s="14" t="s">
        <v>11</v>
      </c>
      <c r="D47" s="49" t="s">
        <v>16</v>
      </c>
      <c r="E47" s="26"/>
      <c r="F47" s="65" t="s">
        <v>15</v>
      </c>
      <c r="G47" s="67"/>
      <c r="H47" s="26"/>
      <c r="I47" s="26"/>
      <c r="J47" s="26"/>
      <c r="K47" s="54"/>
      <c r="L47" s="63"/>
      <c r="M47" s="54"/>
    </row>
    <row r="48" spans="1:13" x14ac:dyDescent="0.25">
      <c r="A48" s="53" t="s">
        <v>4</v>
      </c>
      <c r="B48" s="13" t="s">
        <v>14</v>
      </c>
      <c r="C48" s="13" t="s">
        <v>11</v>
      </c>
      <c r="D48" s="49" t="s">
        <v>13</v>
      </c>
      <c r="E48" s="26"/>
      <c r="F48" s="65" t="s">
        <v>12</v>
      </c>
      <c r="G48" s="67"/>
      <c r="H48" s="26"/>
      <c r="I48" s="26"/>
      <c r="J48" s="26"/>
      <c r="K48" s="54"/>
      <c r="L48" s="63"/>
      <c r="M48" s="54"/>
    </row>
    <row r="49" spans="1:13" x14ac:dyDescent="0.25">
      <c r="A49" s="53" t="s">
        <v>4</v>
      </c>
      <c r="B49" s="14" t="s">
        <v>4</v>
      </c>
      <c r="C49" s="14" t="s">
        <v>11</v>
      </c>
      <c r="D49" s="49" t="s">
        <v>10</v>
      </c>
      <c r="E49" s="26"/>
      <c r="F49" s="65" t="s">
        <v>9</v>
      </c>
      <c r="G49" s="67"/>
      <c r="H49" s="26"/>
      <c r="I49" s="26"/>
      <c r="J49" s="26"/>
      <c r="K49" s="54"/>
      <c r="L49" s="63"/>
      <c r="M49" s="54"/>
    </row>
    <row r="50" spans="1:13" x14ac:dyDescent="0.25">
      <c r="A50" s="53" t="s">
        <v>4</v>
      </c>
      <c r="B50" s="13" t="s">
        <v>3</v>
      </c>
      <c r="C50" s="13" t="s">
        <v>2</v>
      </c>
      <c r="D50" s="49" t="s">
        <v>8</v>
      </c>
      <c r="E50" s="26"/>
      <c r="F50" s="65" t="s">
        <v>7</v>
      </c>
      <c r="G50" s="67"/>
      <c r="H50" s="26"/>
      <c r="I50" s="26"/>
      <c r="J50" s="26"/>
      <c r="K50" s="54"/>
      <c r="L50" s="63"/>
      <c r="M50" s="54"/>
    </row>
    <row r="51" spans="1:13" x14ac:dyDescent="0.25">
      <c r="A51" s="53" t="s">
        <v>4</v>
      </c>
      <c r="B51" s="14" t="s">
        <v>3</v>
      </c>
      <c r="C51" s="14" t="s">
        <v>2</v>
      </c>
      <c r="D51" s="49" t="s">
        <v>6</v>
      </c>
      <c r="E51" s="26"/>
      <c r="F51" s="65" t="s">
        <v>5</v>
      </c>
      <c r="G51" s="67"/>
      <c r="H51" s="26"/>
      <c r="I51" s="26"/>
      <c r="J51" s="26"/>
      <c r="K51" s="54"/>
      <c r="L51" s="63"/>
      <c r="M51" s="54"/>
    </row>
    <row r="52" spans="1:13" ht="15.75" thickBot="1" x14ac:dyDescent="0.3">
      <c r="A52" s="55" t="s">
        <v>4</v>
      </c>
      <c r="B52" s="56" t="s">
        <v>3</v>
      </c>
      <c r="C52" s="56" t="s">
        <v>2</v>
      </c>
      <c r="D52" s="57" t="s">
        <v>1</v>
      </c>
      <c r="E52" s="58"/>
      <c r="F52" s="66" t="s">
        <v>0</v>
      </c>
      <c r="G52" s="68"/>
      <c r="H52" s="58"/>
      <c r="I52" s="58"/>
      <c r="J52" s="58"/>
      <c r="K52" s="59"/>
      <c r="L52" s="64"/>
      <c r="M52" s="59" t="s">
        <v>108</v>
      </c>
    </row>
  </sheetData>
  <dataValidations count="3">
    <dataValidation type="list" allowBlank="1" showInputMessage="1" showErrorMessage="1" sqref="G2:K52" xr:uid="{76F9258C-7DBE-4B7E-8FCF-EAFB664ADD98}">
      <formula1>$AE$1:$AE$5</formula1>
    </dataValidation>
    <dataValidation type="list" allowBlank="1" showInputMessage="1" showErrorMessage="1" sqref="L2:L52" xr:uid="{2918E0F2-82D6-47EB-868A-C73CD23B834B}">
      <formula1>$AH$2:$AH$11</formula1>
    </dataValidation>
    <dataValidation type="list" allowBlank="1" showInputMessage="1" showErrorMessage="1" sqref="M2:M52" xr:uid="{CEB366BC-C01A-44AB-A2B5-E4878475996B}">
      <formula1>$AJ$2:$AJ$6</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CE971-8D7D-482E-A7B1-9E726225DD19}">
  <sheetPr codeName="Sheet3"/>
  <dimension ref="A2:I9"/>
  <sheetViews>
    <sheetView workbookViewId="0">
      <selection activeCell="I3" sqref="I3"/>
    </sheetView>
  </sheetViews>
  <sheetFormatPr defaultRowHeight="15" x14ac:dyDescent="0.25"/>
  <cols>
    <col min="1" max="1" width="23.28515625" bestFit="1" customWidth="1"/>
    <col min="2" max="2" width="20.7109375" bestFit="1" customWidth="1"/>
    <col min="3" max="3" width="34.42578125" bestFit="1" customWidth="1"/>
    <col min="4" max="4" width="27.7109375" bestFit="1" customWidth="1"/>
    <col min="5" max="5" width="16.7109375" bestFit="1" customWidth="1"/>
    <col min="6" max="6" width="7.140625" bestFit="1" customWidth="1"/>
    <col min="7" max="7" width="24.42578125" bestFit="1" customWidth="1"/>
    <col min="8" max="8" width="23.28515625" bestFit="1" customWidth="1"/>
    <col min="9" max="9" width="16.5703125" bestFit="1" customWidth="1"/>
    <col min="10" max="10" width="11.28515625" bestFit="1" customWidth="1"/>
    <col min="11" max="25" width="40.7109375" bestFit="1" customWidth="1"/>
    <col min="26" max="26" width="32.140625" bestFit="1" customWidth="1"/>
    <col min="27" max="27" width="18.42578125" bestFit="1" customWidth="1"/>
    <col min="28" max="28" width="45.7109375" bestFit="1" customWidth="1"/>
    <col min="29" max="29" width="40" bestFit="1" customWidth="1"/>
    <col min="30" max="30" width="27.85546875" bestFit="1" customWidth="1"/>
  </cols>
  <sheetData>
    <row r="2" spans="1:9" x14ac:dyDescent="0.25">
      <c r="I2" t="str">
        <f>Dashboard!B9</f>
        <v>Sharing project Status Update</v>
      </c>
    </row>
    <row r="3" spans="1:9" x14ac:dyDescent="0.25">
      <c r="A3" s="7" t="s">
        <v>133</v>
      </c>
      <c r="B3" t="s">
        <v>144</v>
      </c>
      <c r="C3" t="s">
        <v>145</v>
      </c>
      <c r="D3" t="s">
        <v>146</v>
      </c>
      <c r="E3" t="s">
        <v>147</v>
      </c>
      <c r="F3" t="s">
        <v>222</v>
      </c>
      <c r="H3" s="8" t="s">
        <v>117</v>
      </c>
      <c r="I3">
        <f>INDEX($B$4:$F$8,MATCH(H3,$A$4:$A$8,0),MATCH($I$2,$B$3:F3,0))</f>
        <v>0</v>
      </c>
    </row>
    <row r="4" spans="1:9" x14ac:dyDescent="0.25">
      <c r="A4" s="8" t="s">
        <v>113</v>
      </c>
      <c r="B4" s="9">
        <v>4</v>
      </c>
      <c r="C4" s="9">
        <v>0</v>
      </c>
      <c r="D4" s="9">
        <v>0</v>
      </c>
      <c r="E4" s="9">
        <v>0</v>
      </c>
      <c r="F4" s="9">
        <v>1</v>
      </c>
      <c r="H4" s="8" t="s">
        <v>113</v>
      </c>
      <c r="I4">
        <f>INDEX($B$4:$F$8,MATCH(H4,$A$4:$A$8,0),MATCH($I$2,$B$3:$F$3,0))</f>
        <v>0</v>
      </c>
    </row>
    <row r="5" spans="1:9" x14ac:dyDescent="0.25">
      <c r="A5" s="8" t="s">
        <v>105</v>
      </c>
      <c r="B5" s="9">
        <v>1</v>
      </c>
      <c r="C5" s="9">
        <v>7</v>
      </c>
      <c r="D5" s="9">
        <v>6</v>
      </c>
      <c r="E5" s="9">
        <v>5</v>
      </c>
      <c r="F5" s="9">
        <v>1</v>
      </c>
      <c r="H5" s="8" t="s">
        <v>220</v>
      </c>
      <c r="I5">
        <f>INDEX($B$4:$F$8,MATCH(H5,$A$4:$A$8,0),MATCH($I$2,$B$3:$F$3,0))</f>
        <v>6</v>
      </c>
    </row>
    <row r="6" spans="1:9" x14ac:dyDescent="0.25">
      <c r="A6" s="8" t="s">
        <v>117</v>
      </c>
      <c r="B6" s="9">
        <v>2</v>
      </c>
      <c r="C6" s="9">
        <v>0</v>
      </c>
      <c r="D6" s="9">
        <v>0</v>
      </c>
      <c r="E6" s="9">
        <v>0</v>
      </c>
      <c r="F6" s="9">
        <v>1</v>
      </c>
      <c r="H6" s="8" t="s">
        <v>105</v>
      </c>
      <c r="I6">
        <f>INDEX($B$4:$F$8,MATCH(H6,$A$4:$A$8,0),MATCH($I$2,$B$3:$F$3,0))</f>
        <v>6</v>
      </c>
    </row>
    <row r="7" spans="1:9" x14ac:dyDescent="0.25">
      <c r="A7" s="8" t="s">
        <v>101</v>
      </c>
      <c r="B7" s="9">
        <v>1</v>
      </c>
      <c r="C7" s="9">
        <v>5</v>
      </c>
      <c r="D7" s="9">
        <v>8</v>
      </c>
      <c r="E7" s="9">
        <v>7</v>
      </c>
      <c r="F7" s="9">
        <v>1</v>
      </c>
      <c r="H7" s="8" t="s">
        <v>101</v>
      </c>
      <c r="I7">
        <f>INDEX($B$4:$F$8,MATCH(H7,$A$4:$A$8,0),MATCH($I$2,$B$3:$F$3,0))</f>
        <v>8</v>
      </c>
    </row>
    <row r="8" spans="1:9" x14ac:dyDescent="0.25">
      <c r="A8" s="8" t="s">
        <v>220</v>
      </c>
      <c r="B8" s="9">
        <v>6</v>
      </c>
      <c r="C8" s="9">
        <v>2</v>
      </c>
      <c r="D8" s="9">
        <v>6</v>
      </c>
      <c r="E8" s="9">
        <v>1</v>
      </c>
      <c r="F8" s="9">
        <v>3</v>
      </c>
    </row>
    <row r="9" spans="1:9" x14ac:dyDescent="0.25">
      <c r="A9" s="8" t="s">
        <v>135</v>
      </c>
      <c r="B9" s="9">
        <v>14</v>
      </c>
      <c r="C9" s="9">
        <v>14</v>
      </c>
      <c r="D9" s="9">
        <v>20</v>
      </c>
      <c r="E9" s="9">
        <v>13</v>
      </c>
      <c r="F9" s="9">
        <v>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447BD-D4AF-44F3-A5D2-3701373A663A}">
  <sheetPr codeName="Sheet4"/>
  <dimension ref="B1:J96"/>
  <sheetViews>
    <sheetView topLeftCell="B31" workbookViewId="0">
      <selection activeCell="D18" sqref="D18"/>
    </sheetView>
  </sheetViews>
  <sheetFormatPr defaultRowHeight="15" x14ac:dyDescent="0.25"/>
  <cols>
    <col min="2" max="2" width="38.85546875" bestFit="1" customWidth="1"/>
    <col min="3" max="3" width="21.7109375" customWidth="1"/>
    <col min="7" max="7" width="41.140625" style="2" bestFit="1" customWidth="1"/>
    <col min="8" max="8" width="29.28515625" customWidth="1"/>
  </cols>
  <sheetData>
    <row r="1" spans="2:10" x14ac:dyDescent="0.25">
      <c r="G1" s="6" t="s">
        <v>201</v>
      </c>
      <c r="H1" s="6" t="s">
        <v>120</v>
      </c>
    </row>
    <row r="2" spans="2:10" ht="30" x14ac:dyDescent="0.25">
      <c r="B2" s="30" t="s">
        <v>129</v>
      </c>
      <c r="C2" s="31" t="s">
        <v>199</v>
      </c>
      <c r="D2" s="16"/>
      <c r="G2" s="24" t="s">
        <v>119</v>
      </c>
      <c r="H2" s="24" t="s">
        <v>116</v>
      </c>
    </row>
    <row r="3" spans="2:10" x14ac:dyDescent="0.25">
      <c r="B3" s="27" t="s">
        <v>107</v>
      </c>
      <c r="C3" s="28" t="s">
        <v>126</v>
      </c>
      <c r="G3" s="24" t="s">
        <v>115</v>
      </c>
      <c r="H3" s="24" t="s">
        <v>112</v>
      </c>
      <c r="J3" s="26"/>
    </row>
    <row r="4" spans="2:10" x14ac:dyDescent="0.25">
      <c r="B4" s="27" t="s">
        <v>103</v>
      </c>
      <c r="C4" s="28" t="s">
        <v>126</v>
      </c>
      <c r="G4" s="24" t="s">
        <v>111</v>
      </c>
      <c r="H4" s="23" t="s">
        <v>108</v>
      </c>
    </row>
    <row r="5" spans="2:10" x14ac:dyDescent="0.25">
      <c r="B5" s="27" t="s">
        <v>95</v>
      </c>
      <c r="C5" s="28" t="s">
        <v>126</v>
      </c>
      <c r="G5" s="24" t="s">
        <v>107</v>
      </c>
      <c r="H5" s="23" t="s">
        <v>104</v>
      </c>
    </row>
    <row r="6" spans="2:10" x14ac:dyDescent="0.25">
      <c r="B6" s="27" t="s">
        <v>91</v>
      </c>
      <c r="C6" s="28" t="s">
        <v>126</v>
      </c>
      <c r="G6" s="24" t="s">
        <v>103</v>
      </c>
      <c r="H6" s="23" t="s">
        <v>100</v>
      </c>
    </row>
    <row r="7" spans="2:10" x14ac:dyDescent="0.25">
      <c r="B7" s="27" t="s">
        <v>87</v>
      </c>
      <c r="C7" s="28" t="s">
        <v>126</v>
      </c>
      <c r="G7" s="24" t="s">
        <v>99</v>
      </c>
      <c r="H7" s="23" t="s">
        <v>108</v>
      </c>
    </row>
    <row r="8" spans="2:10" x14ac:dyDescent="0.25">
      <c r="B8" s="27" t="s">
        <v>81</v>
      </c>
      <c r="C8" s="28" t="s">
        <v>126</v>
      </c>
      <c r="G8" s="24" t="s">
        <v>97</v>
      </c>
      <c r="H8" s="23" t="s">
        <v>112</v>
      </c>
    </row>
    <row r="9" spans="2:10" x14ac:dyDescent="0.25">
      <c r="B9" s="27" t="s">
        <v>79</v>
      </c>
      <c r="C9" s="28" t="s">
        <v>126</v>
      </c>
      <c r="G9" s="24" t="s">
        <v>95</v>
      </c>
      <c r="H9" s="23" t="s">
        <v>112</v>
      </c>
      <c r="J9" s="25"/>
    </row>
    <row r="10" spans="2:10" x14ac:dyDescent="0.25">
      <c r="B10" s="27" t="s">
        <v>74</v>
      </c>
      <c r="C10" s="28" t="s">
        <v>126</v>
      </c>
      <c r="G10" s="24" t="s">
        <v>93</v>
      </c>
      <c r="H10" s="23" t="s">
        <v>116</v>
      </c>
    </row>
    <row r="11" spans="2:10" x14ac:dyDescent="0.25">
      <c r="B11" s="27" t="s">
        <v>70</v>
      </c>
      <c r="C11" s="28" t="s">
        <v>126</v>
      </c>
      <c r="G11" s="24" t="s">
        <v>91</v>
      </c>
      <c r="H11" s="23" t="s">
        <v>112</v>
      </c>
    </row>
    <row r="12" spans="2:10" x14ac:dyDescent="0.25">
      <c r="B12" s="27" t="s">
        <v>68</v>
      </c>
      <c r="C12" s="28" t="s">
        <v>126</v>
      </c>
      <c r="G12" s="24" t="s">
        <v>89</v>
      </c>
      <c r="H12" s="23" t="s">
        <v>100</v>
      </c>
    </row>
    <row r="13" spans="2:10" x14ac:dyDescent="0.25">
      <c r="B13" s="27" t="s">
        <v>64</v>
      </c>
      <c r="C13" s="28" t="s">
        <v>126</v>
      </c>
      <c r="G13" s="24" t="s">
        <v>87</v>
      </c>
      <c r="H13" s="23" t="s">
        <v>108</v>
      </c>
    </row>
    <row r="14" spans="2:10" x14ac:dyDescent="0.25">
      <c r="B14" s="27" t="s">
        <v>62</v>
      </c>
      <c r="C14" s="28" t="s">
        <v>126</v>
      </c>
      <c r="G14" s="24" t="s">
        <v>85</v>
      </c>
      <c r="H14" s="23" t="s">
        <v>116</v>
      </c>
    </row>
    <row r="15" spans="2:10" x14ac:dyDescent="0.25">
      <c r="B15" s="27" t="s">
        <v>54</v>
      </c>
      <c r="C15" s="28" t="s">
        <v>126</v>
      </c>
      <c r="G15" s="24" t="s">
        <v>83</v>
      </c>
      <c r="H15" s="23" t="s">
        <v>108</v>
      </c>
    </row>
    <row r="16" spans="2:10" x14ac:dyDescent="0.25">
      <c r="B16" s="27" t="s">
        <v>48</v>
      </c>
      <c r="C16" s="28" t="s">
        <v>126</v>
      </c>
      <c r="G16" s="24" t="s">
        <v>81</v>
      </c>
      <c r="H16" s="23" t="s">
        <v>112</v>
      </c>
    </row>
    <row r="17" spans="2:8" x14ac:dyDescent="0.25">
      <c r="B17" s="27" t="s">
        <v>46</v>
      </c>
      <c r="C17" s="28" t="s">
        <v>126</v>
      </c>
      <c r="G17" s="24" t="s">
        <v>79</v>
      </c>
      <c r="H17" s="23" t="s">
        <v>104</v>
      </c>
    </row>
    <row r="18" spans="2:8" x14ac:dyDescent="0.25">
      <c r="B18" s="27" t="s">
        <v>44</v>
      </c>
      <c r="C18" s="28" t="s">
        <v>126</v>
      </c>
      <c r="G18" s="24" t="s">
        <v>77</v>
      </c>
      <c r="H18" s="23" t="s">
        <v>108</v>
      </c>
    </row>
    <row r="19" spans="2:8" x14ac:dyDescent="0.25">
      <c r="B19" s="27" t="s">
        <v>35</v>
      </c>
      <c r="C19" s="28" t="s">
        <v>126</v>
      </c>
      <c r="G19" s="24" t="s">
        <v>74</v>
      </c>
      <c r="H19" s="23" t="s">
        <v>112</v>
      </c>
    </row>
    <row r="20" spans="2:8" x14ac:dyDescent="0.25">
      <c r="B20" s="27" t="s">
        <v>22</v>
      </c>
      <c r="C20" s="28" t="s">
        <v>126</v>
      </c>
      <c r="G20" s="24" t="s">
        <v>72</v>
      </c>
      <c r="H20" s="23" t="s">
        <v>104</v>
      </c>
    </row>
    <row r="21" spans="2:8" x14ac:dyDescent="0.25">
      <c r="B21" s="27" t="s">
        <v>18</v>
      </c>
      <c r="C21" s="28" t="s">
        <v>126</v>
      </c>
      <c r="G21" s="24" t="s">
        <v>70</v>
      </c>
      <c r="H21" s="23" t="s">
        <v>100</v>
      </c>
    </row>
    <row r="22" spans="2:8" x14ac:dyDescent="0.25">
      <c r="B22" s="27" t="s">
        <v>107</v>
      </c>
      <c r="C22" s="28" t="s">
        <v>125</v>
      </c>
      <c r="G22" s="24" t="s">
        <v>215</v>
      </c>
      <c r="H22" s="23" t="s">
        <v>116</v>
      </c>
    </row>
    <row r="23" spans="2:8" x14ac:dyDescent="0.25">
      <c r="B23" s="27" t="s">
        <v>103</v>
      </c>
      <c r="C23" s="28" t="s">
        <v>125</v>
      </c>
      <c r="G23" s="24" t="s">
        <v>66</v>
      </c>
      <c r="H23" s="23" t="s">
        <v>100</v>
      </c>
    </row>
    <row r="24" spans="2:8" x14ac:dyDescent="0.25">
      <c r="B24" s="27" t="s">
        <v>99</v>
      </c>
      <c r="C24" s="28" t="s">
        <v>125</v>
      </c>
      <c r="G24" s="24" t="s">
        <v>64</v>
      </c>
      <c r="H24" s="23" t="s">
        <v>108</v>
      </c>
    </row>
    <row r="25" spans="2:8" x14ac:dyDescent="0.25">
      <c r="B25" s="27" t="s">
        <v>93</v>
      </c>
      <c r="C25" s="28" t="s">
        <v>125</v>
      </c>
      <c r="G25" s="24" t="s">
        <v>62</v>
      </c>
      <c r="H25" s="23" t="s">
        <v>104</v>
      </c>
    </row>
    <row r="26" spans="2:8" x14ac:dyDescent="0.25">
      <c r="B26" s="27" t="s">
        <v>91</v>
      </c>
      <c r="C26" s="28" t="s">
        <v>125</v>
      </c>
      <c r="G26" s="24" t="s">
        <v>60</v>
      </c>
      <c r="H26" s="23" t="s">
        <v>112</v>
      </c>
    </row>
    <row r="27" spans="2:8" x14ac:dyDescent="0.25">
      <c r="B27" s="27" t="s">
        <v>87</v>
      </c>
      <c r="C27" s="28" t="s">
        <v>125</v>
      </c>
      <c r="G27" s="24" t="s">
        <v>58</v>
      </c>
      <c r="H27" s="23" t="s">
        <v>100</v>
      </c>
    </row>
    <row r="28" spans="2:8" x14ac:dyDescent="0.25">
      <c r="B28" s="27" t="s">
        <v>85</v>
      </c>
      <c r="C28" s="28" t="s">
        <v>125</v>
      </c>
      <c r="G28" s="24" t="s">
        <v>56</v>
      </c>
      <c r="H28" s="23" t="s">
        <v>112</v>
      </c>
    </row>
    <row r="29" spans="2:8" x14ac:dyDescent="0.25">
      <c r="B29" s="27" t="s">
        <v>83</v>
      </c>
      <c r="C29" s="28" t="s">
        <v>125</v>
      </c>
      <c r="G29" s="24" t="s">
        <v>54</v>
      </c>
      <c r="H29" s="23" t="s">
        <v>104</v>
      </c>
    </row>
    <row r="30" spans="2:8" x14ac:dyDescent="0.25">
      <c r="B30" s="27" t="s">
        <v>81</v>
      </c>
      <c r="C30" s="28" t="s">
        <v>125</v>
      </c>
      <c r="G30" s="24" t="s">
        <v>52</v>
      </c>
      <c r="H30" s="23" t="s">
        <v>108</v>
      </c>
    </row>
    <row r="31" spans="2:8" x14ac:dyDescent="0.25">
      <c r="B31" s="27" t="s">
        <v>70</v>
      </c>
      <c r="C31" s="28" t="s">
        <v>125</v>
      </c>
      <c r="G31" s="24" t="s">
        <v>50</v>
      </c>
      <c r="H31" s="23" t="s">
        <v>100</v>
      </c>
    </row>
    <row r="32" spans="2:8" x14ac:dyDescent="0.25">
      <c r="B32" s="27" t="s">
        <v>64</v>
      </c>
      <c r="C32" s="28" t="s">
        <v>125</v>
      </c>
      <c r="G32" s="24" t="s">
        <v>48</v>
      </c>
      <c r="H32" s="23" t="s">
        <v>100</v>
      </c>
    </row>
    <row r="33" spans="2:8" x14ac:dyDescent="0.25">
      <c r="B33" s="27" t="s">
        <v>58</v>
      </c>
      <c r="C33" s="28" t="s">
        <v>125</v>
      </c>
      <c r="G33" s="24" t="s">
        <v>46</v>
      </c>
      <c r="H33" s="23" t="s">
        <v>116</v>
      </c>
    </row>
    <row r="34" spans="2:8" x14ac:dyDescent="0.25">
      <c r="B34" s="27" t="s">
        <v>52</v>
      </c>
      <c r="C34" s="28" t="s">
        <v>125</v>
      </c>
      <c r="G34" s="24" t="s">
        <v>44</v>
      </c>
      <c r="H34" s="23" t="s">
        <v>104</v>
      </c>
    </row>
    <row r="35" spans="2:8" x14ac:dyDescent="0.25">
      <c r="B35" s="27" t="s">
        <v>46</v>
      </c>
      <c r="C35" s="28" t="s">
        <v>125</v>
      </c>
      <c r="G35" s="24" t="s">
        <v>42</v>
      </c>
      <c r="H35" s="23" t="s">
        <v>108</v>
      </c>
    </row>
    <row r="36" spans="2:8" x14ac:dyDescent="0.25">
      <c r="B36" s="27" t="s">
        <v>42</v>
      </c>
      <c r="C36" s="28" t="s">
        <v>125</v>
      </c>
      <c r="G36" s="24" t="s">
        <v>40</v>
      </c>
      <c r="H36" s="23" t="s">
        <v>112</v>
      </c>
    </row>
    <row r="37" spans="2:8" x14ac:dyDescent="0.25">
      <c r="B37" s="27" t="s">
        <v>38</v>
      </c>
      <c r="C37" s="28" t="s">
        <v>125</v>
      </c>
      <c r="G37" s="24" t="s">
        <v>38</v>
      </c>
      <c r="H37" s="23" t="s">
        <v>100</v>
      </c>
    </row>
    <row r="38" spans="2:8" x14ac:dyDescent="0.25">
      <c r="B38" s="27" t="s">
        <v>198</v>
      </c>
      <c r="C38" s="28" t="s">
        <v>125</v>
      </c>
      <c r="G38" s="24" t="s">
        <v>35</v>
      </c>
      <c r="H38" s="24" t="s">
        <v>104</v>
      </c>
    </row>
    <row r="39" spans="2:8" x14ac:dyDescent="0.25">
      <c r="B39" s="27" t="s">
        <v>26</v>
      </c>
      <c r="C39" s="28" t="s">
        <v>125</v>
      </c>
      <c r="G39" s="24" t="s">
        <v>32</v>
      </c>
      <c r="H39" s="24" t="s">
        <v>100</v>
      </c>
    </row>
    <row r="40" spans="2:8" x14ac:dyDescent="0.25">
      <c r="B40" s="27" t="s">
        <v>22</v>
      </c>
      <c r="C40" s="28" t="s">
        <v>125</v>
      </c>
      <c r="G40" s="24" t="s">
        <v>30</v>
      </c>
      <c r="H40" s="24" t="s">
        <v>116</v>
      </c>
    </row>
    <row r="41" spans="2:8" x14ac:dyDescent="0.25">
      <c r="B41" s="27" t="s">
        <v>18</v>
      </c>
      <c r="C41" s="28" t="s">
        <v>125</v>
      </c>
      <c r="G41" s="24" t="s">
        <v>28</v>
      </c>
      <c r="H41" s="24" t="s">
        <v>108</v>
      </c>
    </row>
    <row r="42" spans="2:8" x14ac:dyDescent="0.25">
      <c r="B42" s="27" t="s">
        <v>16</v>
      </c>
      <c r="C42" s="28" t="s">
        <v>125</v>
      </c>
      <c r="G42" s="24" t="s">
        <v>26</v>
      </c>
      <c r="H42" s="24" t="s">
        <v>100</v>
      </c>
    </row>
    <row r="43" spans="2:8" x14ac:dyDescent="0.25">
      <c r="B43" s="27" t="s">
        <v>13</v>
      </c>
      <c r="C43" s="28" t="s">
        <v>125</v>
      </c>
      <c r="G43" s="24" t="s">
        <v>24</v>
      </c>
      <c r="H43" s="24" t="s">
        <v>112</v>
      </c>
    </row>
    <row r="44" spans="2:8" x14ac:dyDescent="0.25">
      <c r="B44" s="27" t="s">
        <v>10</v>
      </c>
      <c r="C44" s="28" t="s">
        <v>125</v>
      </c>
      <c r="G44" s="24" t="s">
        <v>22</v>
      </c>
      <c r="H44" s="24" t="s">
        <v>100</v>
      </c>
    </row>
    <row r="45" spans="2:8" x14ac:dyDescent="0.25">
      <c r="B45" s="27" t="s">
        <v>1</v>
      </c>
      <c r="C45" s="28" t="s">
        <v>125</v>
      </c>
      <c r="G45" s="24" t="s">
        <v>20</v>
      </c>
      <c r="H45" s="24" t="s">
        <v>108</v>
      </c>
    </row>
    <row r="46" spans="2:8" ht="45" x14ac:dyDescent="0.25">
      <c r="B46" s="27" t="s">
        <v>107</v>
      </c>
      <c r="C46" s="29" t="s">
        <v>124</v>
      </c>
      <c r="G46" s="24" t="s">
        <v>18</v>
      </c>
      <c r="H46" s="24" t="s">
        <v>104</v>
      </c>
    </row>
    <row r="47" spans="2:8" ht="45" x14ac:dyDescent="0.25">
      <c r="B47" s="27" t="s">
        <v>103</v>
      </c>
      <c r="C47" s="29" t="s">
        <v>124</v>
      </c>
      <c r="G47" s="24" t="s">
        <v>16</v>
      </c>
      <c r="H47" s="24" t="s">
        <v>116</v>
      </c>
    </row>
    <row r="48" spans="2:8" ht="45" x14ac:dyDescent="0.25">
      <c r="B48" s="27" t="s">
        <v>99</v>
      </c>
      <c r="C48" s="29" t="s">
        <v>124</v>
      </c>
      <c r="G48" s="24" t="s">
        <v>13</v>
      </c>
      <c r="H48" s="24" t="s">
        <v>112</v>
      </c>
    </row>
    <row r="49" spans="2:8" ht="45" x14ac:dyDescent="0.25">
      <c r="B49" s="27" t="s">
        <v>91</v>
      </c>
      <c r="C49" s="29" t="s">
        <v>124</v>
      </c>
      <c r="G49" s="24" t="s">
        <v>10</v>
      </c>
      <c r="H49" s="24" t="s">
        <v>108</v>
      </c>
    </row>
    <row r="50" spans="2:8" ht="45" x14ac:dyDescent="0.25">
      <c r="B50" s="27" t="s">
        <v>81</v>
      </c>
      <c r="C50" s="29" t="s">
        <v>124</v>
      </c>
      <c r="G50" s="24" t="s">
        <v>8</v>
      </c>
      <c r="H50" s="24" t="s">
        <v>116</v>
      </c>
    </row>
    <row r="51" spans="2:8" ht="45" x14ac:dyDescent="0.25">
      <c r="B51" s="27" t="s">
        <v>79</v>
      </c>
      <c r="C51" s="29" t="s">
        <v>124</v>
      </c>
      <c r="G51" s="24" t="s">
        <v>6</v>
      </c>
      <c r="H51" s="24" t="s">
        <v>104</v>
      </c>
    </row>
    <row r="52" spans="2:8" ht="45" x14ac:dyDescent="0.25">
      <c r="B52" s="27" t="s">
        <v>77</v>
      </c>
      <c r="C52" s="29" t="s">
        <v>124</v>
      </c>
      <c r="G52" s="24" t="s">
        <v>1</v>
      </c>
      <c r="H52" s="24" t="s">
        <v>112</v>
      </c>
    </row>
    <row r="53" spans="2:8" ht="45" x14ac:dyDescent="0.25">
      <c r="B53" s="27" t="s">
        <v>64</v>
      </c>
      <c r="C53" s="29" t="s">
        <v>124</v>
      </c>
      <c r="G53" s="4"/>
    </row>
    <row r="54" spans="2:8" ht="45" x14ac:dyDescent="0.25">
      <c r="B54" s="27" t="s">
        <v>60</v>
      </c>
      <c r="C54" s="29" t="s">
        <v>124</v>
      </c>
    </row>
    <row r="55" spans="2:8" ht="45" x14ac:dyDescent="0.25">
      <c r="B55" s="27" t="s">
        <v>58</v>
      </c>
      <c r="C55" s="29" t="s">
        <v>124</v>
      </c>
    </row>
    <row r="56" spans="2:8" ht="45" x14ac:dyDescent="0.25">
      <c r="B56" s="27" t="s">
        <v>50</v>
      </c>
      <c r="C56" s="29" t="s">
        <v>124</v>
      </c>
    </row>
    <row r="57" spans="2:8" ht="45" x14ac:dyDescent="0.25">
      <c r="B57" s="27" t="s">
        <v>46</v>
      </c>
      <c r="C57" s="29" t="s">
        <v>124</v>
      </c>
    </row>
    <row r="58" spans="2:8" ht="45" x14ac:dyDescent="0.25">
      <c r="B58" s="27" t="s">
        <v>38</v>
      </c>
      <c r="C58" s="29" t="s">
        <v>124</v>
      </c>
    </row>
    <row r="59" spans="2:8" ht="45" x14ac:dyDescent="0.25">
      <c r="B59" s="27" t="s">
        <v>32</v>
      </c>
      <c r="C59" s="29" t="s">
        <v>124</v>
      </c>
    </row>
    <row r="60" spans="2:8" ht="45" x14ac:dyDescent="0.25">
      <c r="B60" s="27" t="s">
        <v>22</v>
      </c>
      <c r="C60" s="29" t="s">
        <v>124</v>
      </c>
    </row>
    <row r="61" spans="2:8" ht="45" x14ac:dyDescent="0.25">
      <c r="B61" s="27" t="s">
        <v>16</v>
      </c>
      <c r="C61" s="29" t="s">
        <v>124</v>
      </c>
    </row>
    <row r="62" spans="2:8" ht="45" x14ac:dyDescent="0.25">
      <c r="B62" s="27" t="s">
        <v>8</v>
      </c>
      <c r="C62" s="29" t="s">
        <v>124</v>
      </c>
    </row>
    <row r="63" spans="2:8" ht="30" x14ac:dyDescent="0.25">
      <c r="B63" s="27" t="s">
        <v>107</v>
      </c>
      <c r="C63" s="29" t="s">
        <v>123</v>
      </c>
    </row>
    <row r="64" spans="2:8" ht="30" x14ac:dyDescent="0.25">
      <c r="B64" s="27" t="s">
        <v>103</v>
      </c>
      <c r="C64" s="29" t="s">
        <v>123</v>
      </c>
    </row>
    <row r="65" spans="2:3" ht="30" x14ac:dyDescent="0.25">
      <c r="B65" s="27" t="s">
        <v>95</v>
      </c>
      <c r="C65" s="29" t="s">
        <v>123</v>
      </c>
    </row>
    <row r="66" spans="2:3" ht="30" x14ac:dyDescent="0.25">
      <c r="B66" s="27" t="s">
        <v>87</v>
      </c>
      <c r="C66" s="29" t="s">
        <v>123</v>
      </c>
    </row>
    <row r="67" spans="2:3" ht="30" x14ac:dyDescent="0.25">
      <c r="B67" s="27" t="s">
        <v>81</v>
      </c>
      <c r="C67" s="29" t="s">
        <v>123</v>
      </c>
    </row>
    <row r="68" spans="2:3" ht="30" x14ac:dyDescent="0.25">
      <c r="B68" s="27" t="s">
        <v>79</v>
      </c>
      <c r="C68" s="29" t="s">
        <v>123</v>
      </c>
    </row>
    <row r="69" spans="2:3" ht="30" x14ac:dyDescent="0.25">
      <c r="B69" s="27" t="s">
        <v>70</v>
      </c>
      <c r="C69" s="29" t="s">
        <v>123</v>
      </c>
    </row>
    <row r="70" spans="2:3" ht="30" x14ac:dyDescent="0.25">
      <c r="B70" s="27" t="s">
        <v>68</v>
      </c>
      <c r="C70" s="29" t="s">
        <v>123</v>
      </c>
    </row>
    <row r="71" spans="2:3" ht="30" x14ac:dyDescent="0.25">
      <c r="B71" s="27" t="s">
        <v>62</v>
      </c>
      <c r="C71" s="29" t="s">
        <v>123</v>
      </c>
    </row>
    <row r="72" spans="2:3" ht="30" x14ac:dyDescent="0.25">
      <c r="B72" s="27" t="s">
        <v>56</v>
      </c>
      <c r="C72" s="29" t="s">
        <v>123</v>
      </c>
    </row>
    <row r="73" spans="2:3" ht="30" x14ac:dyDescent="0.25">
      <c r="B73" s="27" t="s">
        <v>54</v>
      </c>
      <c r="C73" s="29" t="s">
        <v>123</v>
      </c>
    </row>
    <row r="74" spans="2:3" ht="30" x14ac:dyDescent="0.25">
      <c r="B74" s="27" t="s">
        <v>38</v>
      </c>
      <c r="C74" s="29" t="s">
        <v>123</v>
      </c>
    </row>
    <row r="75" spans="2:3" ht="30" x14ac:dyDescent="0.25">
      <c r="B75" s="27" t="s">
        <v>35</v>
      </c>
      <c r="C75" s="29" t="s">
        <v>123</v>
      </c>
    </row>
    <row r="76" spans="2:3" ht="30" x14ac:dyDescent="0.25">
      <c r="B76" s="27" t="s">
        <v>30</v>
      </c>
      <c r="C76" s="29" t="s">
        <v>123</v>
      </c>
    </row>
    <row r="77" spans="2:3" ht="30" x14ac:dyDescent="0.25">
      <c r="B77" s="27" t="s">
        <v>213</v>
      </c>
      <c r="C77" s="29" t="s">
        <v>123</v>
      </c>
    </row>
    <row r="78" spans="2:3" ht="30" x14ac:dyDescent="0.25">
      <c r="B78" s="27" t="s">
        <v>214</v>
      </c>
      <c r="C78" s="29" t="s">
        <v>123</v>
      </c>
    </row>
    <row r="79" spans="2:3" ht="30" x14ac:dyDescent="0.25">
      <c r="B79" s="27" t="s">
        <v>13</v>
      </c>
      <c r="C79" s="29" t="s">
        <v>123</v>
      </c>
    </row>
    <row r="80" spans="2:3" ht="30" x14ac:dyDescent="0.25">
      <c r="B80" s="27" t="s">
        <v>10</v>
      </c>
      <c r="C80" s="29" t="s">
        <v>123</v>
      </c>
    </row>
    <row r="81" spans="2:3" ht="30" x14ac:dyDescent="0.25">
      <c r="B81" s="27" t="s">
        <v>6</v>
      </c>
      <c r="C81" s="29" t="s">
        <v>123</v>
      </c>
    </row>
    <row r="82" spans="2:3" x14ac:dyDescent="0.25">
      <c r="B82" s="27" t="s">
        <v>107</v>
      </c>
      <c r="C82" s="24" t="s">
        <v>122</v>
      </c>
    </row>
    <row r="83" spans="2:3" x14ac:dyDescent="0.25">
      <c r="B83" s="27" t="s">
        <v>103</v>
      </c>
      <c r="C83" s="24" t="s">
        <v>122</v>
      </c>
    </row>
    <row r="84" spans="2:3" x14ac:dyDescent="0.25">
      <c r="B84" s="27" t="s">
        <v>95</v>
      </c>
      <c r="C84" s="24" t="s">
        <v>122</v>
      </c>
    </row>
    <row r="85" spans="2:3" x14ac:dyDescent="0.25">
      <c r="B85" s="27" t="s">
        <v>93</v>
      </c>
      <c r="C85" s="24" t="s">
        <v>122</v>
      </c>
    </row>
    <row r="86" spans="2:3" x14ac:dyDescent="0.25">
      <c r="B86" s="27" t="s">
        <v>83</v>
      </c>
      <c r="C86" s="24" t="s">
        <v>122</v>
      </c>
    </row>
    <row r="87" spans="2:3" x14ac:dyDescent="0.25">
      <c r="B87" s="27" t="s">
        <v>74</v>
      </c>
      <c r="C87" s="24" t="s">
        <v>122</v>
      </c>
    </row>
    <row r="88" spans="2:3" x14ac:dyDescent="0.25">
      <c r="B88" s="27" t="s">
        <v>64</v>
      </c>
      <c r="C88" s="24" t="s">
        <v>122</v>
      </c>
    </row>
    <row r="89" spans="2:3" x14ac:dyDescent="0.25">
      <c r="B89" s="27" t="s">
        <v>56</v>
      </c>
      <c r="C89" s="24" t="s">
        <v>122</v>
      </c>
    </row>
    <row r="90" spans="2:3" x14ac:dyDescent="0.25">
      <c r="B90" s="27" t="s">
        <v>54</v>
      </c>
      <c r="C90" s="24" t="s">
        <v>122</v>
      </c>
    </row>
    <row r="91" spans="2:3" x14ac:dyDescent="0.25">
      <c r="B91" s="27" t="s">
        <v>212</v>
      </c>
      <c r="C91" s="24" t="s">
        <v>122</v>
      </c>
    </row>
    <row r="92" spans="2:3" x14ac:dyDescent="0.25">
      <c r="B92" s="27" t="s">
        <v>35</v>
      </c>
      <c r="C92" s="24" t="s">
        <v>122</v>
      </c>
    </row>
    <row r="93" spans="2:3" x14ac:dyDescent="0.25">
      <c r="B93" s="27" t="s">
        <v>32</v>
      </c>
      <c r="C93" s="24" t="s">
        <v>122</v>
      </c>
    </row>
    <row r="94" spans="2:3" x14ac:dyDescent="0.25">
      <c r="B94" s="27" t="s">
        <v>18</v>
      </c>
      <c r="C94" s="24" t="s">
        <v>122</v>
      </c>
    </row>
    <row r="95" spans="2:3" x14ac:dyDescent="0.25">
      <c r="B95" s="27" t="s">
        <v>13</v>
      </c>
      <c r="C95" s="24" t="s">
        <v>122</v>
      </c>
    </row>
    <row r="96" spans="2:3" x14ac:dyDescent="0.25">
      <c r="B96" s="27" t="s">
        <v>8</v>
      </c>
      <c r="C96" s="24" t="s">
        <v>122</v>
      </c>
    </row>
  </sheetData>
  <autoFilter ref="B1:J96" xr:uid="{2B1AD1D3-24BC-408B-899E-A77D354D749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17C04-FE98-4301-95AC-4344E48B8E0F}">
  <sheetPr codeName="Sheet5"/>
  <dimension ref="B2:BH53"/>
  <sheetViews>
    <sheetView zoomScale="115" zoomScaleNormal="115" workbookViewId="0">
      <selection activeCell="B3" sqref="B3"/>
    </sheetView>
  </sheetViews>
  <sheetFormatPr defaultRowHeight="15" x14ac:dyDescent="0.25"/>
  <cols>
    <col min="1" max="1" width="8.85546875" customWidth="1"/>
    <col min="2" max="2" width="36.28515625" bestFit="1" customWidth="1"/>
    <col min="3" max="3" width="21.7109375" customWidth="1"/>
    <col min="4" max="4" width="11.28515625" customWidth="1"/>
    <col min="5" max="5" width="34.42578125" customWidth="1"/>
    <col min="6" max="6" width="29.28515625" customWidth="1"/>
    <col min="7" max="7" width="17.5703125" customWidth="1"/>
    <col min="9" max="9" width="36.42578125" bestFit="1" customWidth="1"/>
    <col min="10" max="10" width="26.85546875" bestFit="1" customWidth="1"/>
    <col min="11" max="11" width="28.5703125" bestFit="1" customWidth="1"/>
    <col min="12" max="12" width="24.28515625" bestFit="1" customWidth="1"/>
    <col min="13" max="14" width="42.28515625" bestFit="1" customWidth="1"/>
    <col min="15" max="15" width="20.42578125" bestFit="1" customWidth="1"/>
    <col min="16" max="16" width="33.5703125" bestFit="1" customWidth="1"/>
    <col min="17" max="17" width="29.28515625" bestFit="1" customWidth="1"/>
    <col min="18" max="18" width="47.28515625" bestFit="1" customWidth="1"/>
    <col min="19" max="263" width="39.140625" bestFit="1" customWidth="1"/>
    <col min="264" max="264" width="39.42578125" bestFit="1" customWidth="1"/>
    <col min="265" max="265" width="19" bestFit="1" customWidth="1"/>
    <col min="266" max="266" width="31.85546875" bestFit="1" customWidth="1"/>
    <col min="267" max="267" width="27.42578125" bestFit="1" customWidth="1"/>
    <col min="268" max="268" width="44" bestFit="1" customWidth="1"/>
    <col min="269" max="273" width="39.140625" bestFit="1" customWidth="1"/>
    <col min="274" max="274" width="18.5703125" bestFit="1" customWidth="1"/>
    <col min="275" max="275" width="31.42578125" bestFit="1" customWidth="1"/>
    <col min="276" max="276" width="39" bestFit="1" customWidth="1"/>
    <col min="277" max="277" width="26.85546875" bestFit="1" customWidth="1"/>
    <col min="278" max="278" width="43.5703125" bestFit="1" customWidth="1"/>
    <col min="279" max="279" width="19" bestFit="1" customWidth="1"/>
    <col min="280" max="280" width="31.85546875" bestFit="1" customWidth="1"/>
    <col min="281" max="281" width="39.42578125" bestFit="1" customWidth="1"/>
    <col min="282" max="282" width="27.42578125" bestFit="1" customWidth="1"/>
    <col min="283" max="283" width="44" bestFit="1" customWidth="1"/>
  </cols>
  <sheetData>
    <row r="2" spans="2:60" x14ac:dyDescent="0.25">
      <c r="B2" s="20" t="s">
        <v>129</v>
      </c>
      <c r="C2" s="21" t="s">
        <v>126</v>
      </c>
      <c r="D2" s="21" t="s">
        <v>125</v>
      </c>
      <c r="E2" s="22" t="s">
        <v>124</v>
      </c>
      <c r="F2" s="22" t="s">
        <v>123</v>
      </c>
      <c r="G2" s="22" t="s">
        <v>122</v>
      </c>
    </row>
    <row r="3" spans="2:60" ht="30" x14ac:dyDescent="0.25">
      <c r="B3" s="15" t="s">
        <v>153</v>
      </c>
      <c r="C3" s="11" t="s">
        <v>117</v>
      </c>
      <c r="D3" s="11" t="s">
        <v>117</v>
      </c>
      <c r="E3" s="11" t="s">
        <v>117</v>
      </c>
      <c r="F3" s="11" t="s">
        <v>117</v>
      </c>
      <c r="G3" s="11" t="s">
        <v>117</v>
      </c>
    </row>
    <row r="4" spans="2:60" x14ac:dyDescent="0.25">
      <c r="B4" s="15" t="s">
        <v>148</v>
      </c>
      <c r="C4" s="17" t="s">
        <v>113</v>
      </c>
      <c r="D4" s="17" t="s">
        <v>113</v>
      </c>
      <c r="E4" s="17" t="s">
        <v>113</v>
      </c>
      <c r="F4" s="17" t="s">
        <v>113</v>
      </c>
      <c r="G4" s="17" t="s">
        <v>113</v>
      </c>
    </row>
    <row r="5" spans="2:60" ht="45" x14ac:dyDescent="0.25">
      <c r="B5" s="15" t="s">
        <v>191</v>
      </c>
      <c r="C5" s="11" t="s">
        <v>109</v>
      </c>
      <c r="D5" s="11" t="s">
        <v>109</v>
      </c>
      <c r="E5" s="11" t="s">
        <v>109</v>
      </c>
      <c r="F5" s="11" t="s">
        <v>109</v>
      </c>
      <c r="G5" s="11" t="s">
        <v>109</v>
      </c>
      <c r="I5" s="7" t="s">
        <v>129</v>
      </c>
      <c r="J5" t="s">
        <v>148</v>
      </c>
    </row>
    <row r="6" spans="2:60" x14ac:dyDescent="0.25">
      <c r="B6" s="15" t="s">
        <v>193</v>
      </c>
      <c r="C6" s="17" t="s">
        <v>105</v>
      </c>
      <c r="D6" s="17" t="s">
        <v>105</v>
      </c>
      <c r="E6" s="17" t="s">
        <v>105</v>
      </c>
      <c r="F6" s="17" t="s">
        <v>105</v>
      </c>
      <c r="G6" s="17" t="s">
        <v>105</v>
      </c>
    </row>
    <row r="7" spans="2:60" ht="30" x14ac:dyDescent="0.25">
      <c r="B7" s="15" t="s">
        <v>152</v>
      </c>
      <c r="C7" s="11" t="s">
        <v>101</v>
      </c>
      <c r="D7" s="11" t="s">
        <v>101</v>
      </c>
      <c r="E7" s="11" t="s">
        <v>101</v>
      </c>
      <c r="F7" s="11" t="s">
        <v>101</v>
      </c>
      <c r="G7" s="11" t="s">
        <v>101</v>
      </c>
      <c r="I7" t="s">
        <v>141</v>
      </c>
      <c r="J7" t="s">
        <v>139</v>
      </c>
      <c r="K7" t="s">
        <v>140</v>
      </c>
      <c r="L7" t="s">
        <v>142</v>
      </c>
      <c r="M7" t="s">
        <v>138</v>
      </c>
    </row>
    <row r="8" spans="2:60" x14ac:dyDescent="0.25">
      <c r="B8" s="15" t="s">
        <v>157</v>
      </c>
      <c r="C8" s="17" t="s">
        <v>113</v>
      </c>
      <c r="D8" s="17" t="s">
        <v>105</v>
      </c>
      <c r="E8" s="17" t="s">
        <v>105</v>
      </c>
      <c r="F8" s="17" t="s">
        <v>113</v>
      </c>
      <c r="G8" s="17" t="s">
        <v>113</v>
      </c>
      <c r="I8" s="9">
        <v>1</v>
      </c>
      <c r="J8" s="9">
        <v>1</v>
      </c>
      <c r="K8" s="9">
        <v>1</v>
      </c>
      <c r="L8" s="9">
        <v>1</v>
      </c>
      <c r="M8" s="9">
        <v>1</v>
      </c>
    </row>
    <row r="9" spans="2:60" ht="30" x14ac:dyDescent="0.25">
      <c r="B9" s="15" t="s">
        <v>154</v>
      </c>
      <c r="C9" s="11" t="s">
        <v>109</v>
      </c>
      <c r="D9" s="11" t="s">
        <v>117</v>
      </c>
      <c r="E9" s="11" t="s">
        <v>113</v>
      </c>
      <c r="F9" s="11" t="s">
        <v>117</v>
      </c>
      <c r="G9" s="11" t="s">
        <v>117</v>
      </c>
    </row>
    <row r="10" spans="2:60" x14ac:dyDescent="0.25">
      <c r="B10" s="15" t="s">
        <v>162</v>
      </c>
      <c r="C10" s="17" t="s">
        <v>101</v>
      </c>
      <c r="D10" s="17" t="s">
        <v>113</v>
      </c>
      <c r="E10" s="17" t="s">
        <v>117</v>
      </c>
      <c r="F10" s="17" t="s">
        <v>105</v>
      </c>
      <c r="G10" s="17" t="s">
        <v>105</v>
      </c>
    </row>
    <row r="11" spans="2:60" ht="30" x14ac:dyDescent="0.25">
      <c r="B11" s="15" t="s">
        <v>160</v>
      </c>
      <c r="C11" s="11" t="s">
        <v>117</v>
      </c>
      <c r="D11" s="11" t="s">
        <v>101</v>
      </c>
      <c r="E11" s="11" t="s">
        <v>109</v>
      </c>
      <c r="F11" s="11" t="s">
        <v>113</v>
      </c>
      <c r="G11" s="11" t="s">
        <v>101</v>
      </c>
      <c r="I11" s="18"/>
      <c r="J11" s="18"/>
      <c r="K11" s="19"/>
      <c r="L11" s="19"/>
      <c r="M11" s="19"/>
      <c r="N11" s="19"/>
    </row>
    <row r="12" spans="2:60" ht="30" x14ac:dyDescent="0.25">
      <c r="B12" s="15" t="s">
        <v>183</v>
      </c>
      <c r="C12" s="17" t="s">
        <v>105</v>
      </c>
      <c r="D12" s="17" t="s">
        <v>105</v>
      </c>
      <c r="E12" s="17" t="s">
        <v>105</v>
      </c>
      <c r="F12" s="17" t="s">
        <v>109</v>
      </c>
      <c r="G12" s="17" t="s">
        <v>109</v>
      </c>
    </row>
    <row r="13" spans="2:60" x14ac:dyDescent="0.25">
      <c r="B13" s="15" t="s">
        <v>189</v>
      </c>
      <c r="C13" s="11" t="s">
        <v>113</v>
      </c>
      <c r="D13" s="11" t="s">
        <v>113</v>
      </c>
      <c r="E13" s="11" t="s">
        <v>117</v>
      </c>
      <c r="F13" s="11" t="s">
        <v>113</v>
      </c>
      <c r="G13" s="11" t="s">
        <v>113</v>
      </c>
    </row>
    <row r="14" spans="2:60" x14ac:dyDescent="0.25">
      <c r="B14" s="15" t="s">
        <v>165</v>
      </c>
      <c r="C14" s="17" t="s">
        <v>101</v>
      </c>
      <c r="D14" s="17" t="s">
        <v>105</v>
      </c>
      <c r="E14" s="17" t="s">
        <v>113</v>
      </c>
      <c r="F14" s="17" t="s">
        <v>101</v>
      </c>
      <c r="G14" s="17" t="s">
        <v>117</v>
      </c>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c r="BA14" s="15"/>
      <c r="BB14" s="15"/>
      <c r="BC14" s="15"/>
      <c r="BD14" s="15"/>
      <c r="BE14" s="15"/>
      <c r="BF14" s="15"/>
      <c r="BG14" s="15"/>
      <c r="BH14" s="15"/>
    </row>
    <row r="15" spans="2:60" ht="30" x14ac:dyDescent="0.25">
      <c r="B15" s="15" t="s">
        <v>158</v>
      </c>
      <c r="C15" s="11" t="s">
        <v>109</v>
      </c>
      <c r="D15" s="11" t="s">
        <v>101</v>
      </c>
      <c r="E15" s="11" t="s">
        <v>109</v>
      </c>
      <c r="F15" s="11" t="s">
        <v>113</v>
      </c>
      <c r="G15" s="11" t="s">
        <v>113</v>
      </c>
    </row>
    <row r="16" spans="2:60" x14ac:dyDescent="0.25">
      <c r="B16" s="15" t="s">
        <v>169</v>
      </c>
      <c r="C16" s="17" t="s">
        <v>117</v>
      </c>
      <c r="D16" s="17" t="s">
        <v>105</v>
      </c>
      <c r="E16" s="17" t="s">
        <v>113</v>
      </c>
      <c r="F16" s="17" t="s">
        <v>109</v>
      </c>
      <c r="G16" s="17" t="s">
        <v>101</v>
      </c>
    </row>
    <row r="17" spans="2:7" x14ac:dyDescent="0.25">
      <c r="B17" s="15" t="s">
        <v>170</v>
      </c>
      <c r="C17" s="11" t="s">
        <v>101</v>
      </c>
      <c r="D17" s="11" t="s">
        <v>105</v>
      </c>
      <c r="E17" s="11" t="s">
        <v>101</v>
      </c>
      <c r="F17" s="11" t="s">
        <v>105</v>
      </c>
      <c r="G17" s="11" t="s">
        <v>113</v>
      </c>
    </row>
    <row r="18" spans="2:7" ht="30" x14ac:dyDescent="0.25">
      <c r="B18" s="15" t="s">
        <v>173</v>
      </c>
      <c r="C18" s="17" t="s">
        <v>101</v>
      </c>
      <c r="D18" s="17" t="s">
        <v>117</v>
      </c>
      <c r="E18" s="17" t="s">
        <v>101</v>
      </c>
      <c r="F18" s="17" t="s">
        <v>101</v>
      </c>
      <c r="G18" s="17" t="s">
        <v>109</v>
      </c>
    </row>
    <row r="19" spans="2:7" x14ac:dyDescent="0.25">
      <c r="B19" s="15" t="s">
        <v>167</v>
      </c>
      <c r="C19" s="11" t="s">
        <v>113</v>
      </c>
      <c r="D19" s="11" t="s">
        <v>113</v>
      </c>
      <c r="E19" s="11" t="s">
        <v>101</v>
      </c>
      <c r="F19" s="11" t="s">
        <v>109</v>
      </c>
      <c r="G19" s="13"/>
    </row>
    <row r="20" spans="2:7" ht="45" x14ac:dyDescent="0.25">
      <c r="B20" s="15" t="s">
        <v>190</v>
      </c>
      <c r="C20" s="17" t="s">
        <v>101</v>
      </c>
      <c r="D20" s="17" t="s">
        <v>109</v>
      </c>
      <c r="E20" s="17" t="s">
        <v>113</v>
      </c>
      <c r="F20" s="17" t="s">
        <v>113</v>
      </c>
      <c r="G20" s="17" t="s">
        <v>101</v>
      </c>
    </row>
    <row r="21" spans="2:7" x14ac:dyDescent="0.25">
      <c r="B21" s="15" t="s">
        <v>175</v>
      </c>
      <c r="C21" s="11" t="s">
        <v>113</v>
      </c>
      <c r="D21" s="11" t="s">
        <v>113</v>
      </c>
      <c r="E21" s="11" t="s">
        <v>113</v>
      </c>
      <c r="F21" s="11" t="s">
        <v>117</v>
      </c>
      <c r="G21" s="13"/>
    </row>
    <row r="22" spans="2:7" ht="30" x14ac:dyDescent="0.25">
      <c r="B22" s="15" t="s">
        <v>176</v>
      </c>
      <c r="C22" s="17" t="s">
        <v>101</v>
      </c>
      <c r="D22" s="17" t="s">
        <v>101</v>
      </c>
      <c r="E22" s="17" t="s">
        <v>113</v>
      </c>
      <c r="F22" s="17" t="s">
        <v>105</v>
      </c>
      <c r="G22" s="17" t="s">
        <v>113</v>
      </c>
    </row>
    <row r="23" spans="2:7" x14ac:dyDescent="0.25">
      <c r="B23" s="15" t="s">
        <v>161</v>
      </c>
      <c r="C23" s="11" t="s">
        <v>105</v>
      </c>
      <c r="D23" s="11" t="s">
        <v>113</v>
      </c>
      <c r="E23" s="11" t="s">
        <v>109</v>
      </c>
      <c r="F23" s="11" t="s">
        <v>105</v>
      </c>
      <c r="G23" s="11" t="s">
        <v>117</v>
      </c>
    </row>
    <row r="24" spans="2:7" x14ac:dyDescent="0.25">
      <c r="B24" s="15" t="s">
        <v>178</v>
      </c>
      <c r="C24" s="17" t="s">
        <v>113</v>
      </c>
      <c r="D24" s="17" t="s">
        <v>113</v>
      </c>
      <c r="E24" s="17" t="s">
        <v>113</v>
      </c>
      <c r="F24" s="17" t="s">
        <v>117</v>
      </c>
      <c r="G24" s="14"/>
    </row>
    <row r="25" spans="2:7" x14ac:dyDescent="0.25">
      <c r="B25" s="15" t="s">
        <v>163</v>
      </c>
      <c r="C25" s="11" t="s">
        <v>101</v>
      </c>
      <c r="D25" s="11" t="s">
        <v>105</v>
      </c>
      <c r="E25" s="11" t="s">
        <v>101</v>
      </c>
      <c r="F25" s="11" t="s">
        <v>113</v>
      </c>
      <c r="G25" s="11" t="s">
        <v>105</v>
      </c>
    </row>
    <row r="26" spans="2:7" ht="30" x14ac:dyDescent="0.25">
      <c r="B26" s="15" t="s">
        <v>194</v>
      </c>
      <c r="C26" s="17" t="s">
        <v>101</v>
      </c>
      <c r="D26" s="17" t="s">
        <v>117</v>
      </c>
      <c r="E26" s="17" t="s">
        <v>113</v>
      </c>
      <c r="F26" s="17" t="s">
        <v>105</v>
      </c>
      <c r="G26" s="17" t="s">
        <v>113</v>
      </c>
    </row>
    <row r="27" spans="2:7" x14ac:dyDescent="0.25">
      <c r="B27" s="15" t="s">
        <v>182</v>
      </c>
      <c r="C27" s="11" t="s">
        <v>113</v>
      </c>
      <c r="D27" s="11" t="s">
        <v>113</v>
      </c>
      <c r="E27" s="11" t="s">
        <v>105</v>
      </c>
      <c r="F27" s="11" t="s">
        <v>113</v>
      </c>
      <c r="G27" s="11" t="s">
        <v>113</v>
      </c>
    </row>
    <row r="28" spans="2:7" ht="30" x14ac:dyDescent="0.25">
      <c r="B28" s="15" t="s">
        <v>179</v>
      </c>
      <c r="C28" s="17" t="s">
        <v>109</v>
      </c>
      <c r="D28" s="17" t="s">
        <v>105</v>
      </c>
      <c r="E28" s="17" t="s">
        <v>101</v>
      </c>
      <c r="F28" s="17" t="s">
        <v>109</v>
      </c>
      <c r="G28" s="17" t="s">
        <v>113</v>
      </c>
    </row>
    <row r="29" spans="2:7" x14ac:dyDescent="0.25">
      <c r="B29" s="15" t="s">
        <v>184</v>
      </c>
      <c r="C29" s="11" t="s">
        <v>113</v>
      </c>
      <c r="D29" s="11" t="s">
        <v>113</v>
      </c>
      <c r="E29" s="11" t="s">
        <v>117</v>
      </c>
      <c r="F29" s="11" t="s">
        <v>101</v>
      </c>
      <c r="G29" s="11" t="s">
        <v>101</v>
      </c>
    </row>
    <row r="30" spans="2:7" ht="45" x14ac:dyDescent="0.25">
      <c r="B30" s="15" t="s">
        <v>186</v>
      </c>
      <c r="C30" s="17" t="s">
        <v>101</v>
      </c>
      <c r="D30" s="17" t="s">
        <v>109</v>
      </c>
      <c r="E30" s="17" t="s">
        <v>109</v>
      </c>
      <c r="F30" s="17" t="s">
        <v>101</v>
      </c>
      <c r="G30" s="17" t="s">
        <v>105</v>
      </c>
    </row>
    <row r="31" spans="2:7" x14ac:dyDescent="0.25">
      <c r="B31" s="15" t="s">
        <v>151</v>
      </c>
      <c r="C31" s="11" t="s">
        <v>113</v>
      </c>
      <c r="D31" s="11" t="s">
        <v>105</v>
      </c>
      <c r="E31" s="11" t="s">
        <v>113</v>
      </c>
      <c r="F31" s="11" t="s">
        <v>109</v>
      </c>
      <c r="G31" s="11" t="s">
        <v>113</v>
      </c>
    </row>
    <row r="32" spans="2:7" ht="30" x14ac:dyDescent="0.25">
      <c r="B32" s="15" t="s">
        <v>177</v>
      </c>
      <c r="C32" s="17" t="s">
        <v>109</v>
      </c>
      <c r="D32" s="17" t="s">
        <v>117</v>
      </c>
      <c r="E32" s="17" t="s">
        <v>105</v>
      </c>
      <c r="F32" s="17" t="s">
        <v>113</v>
      </c>
      <c r="G32" s="17" t="s">
        <v>101</v>
      </c>
    </row>
    <row r="33" spans="2:7" x14ac:dyDescent="0.25">
      <c r="B33" s="15" t="s">
        <v>174</v>
      </c>
      <c r="C33" s="11" t="s">
        <v>101</v>
      </c>
      <c r="D33" s="11" t="s">
        <v>113</v>
      </c>
      <c r="E33" s="11" t="s">
        <v>113</v>
      </c>
      <c r="F33" s="11" t="s">
        <v>117</v>
      </c>
      <c r="G33" s="11" t="s">
        <v>113</v>
      </c>
    </row>
    <row r="34" spans="2:7" ht="30" x14ac:dyDescent="0.25">
      <c r="B34" s="15" t="s">
        <v>187</v>
      </c>
      <c r="C34" s="17" t="s">
        <v>105</v>
      </c>
      <c r="D34" s="17" t="s">
        <v>101</v>
      </c>
      <c r="E34" s="17" t="s">
        <v>101</v>
      </c>
      <c r="F34" s="17" t="s">
        <v>113</v>
      </c>
      <c r="G34" s="17" t="s">
        <v>117</v>
      </c>
    </row>
    <row r="35" spans="2:7" x14ac:dyDescent="0.25">
      <c r="B35" s="15" t="s">
        <v>159</v>
      </c>
      <c r="C35" s="11" t="s">
        <v>101</v>
      </c>
      <c r="D35" s="11" t="s">
        <v>113</v>
      </c>
      <c r="E35" s="11" t="s">
        <v>113</v>
      </c>
      <c r="F35" s="11" t="s">
        <v>109</v>
      </c>
      <c r="G35" s="11" t="s">
        <v>113</v>
      </c>
    </row>
    <row r="36" spans="2:7" x14ac:dyDescent="0.25">
      <c r="B36" s="15" t="s">
        <v>188</v>
      </c>
      <c r="C36" s="17" t="s">
        <v>117</v>
      </c>
      <c r="D36" s="17" t="s">
        <v>105</v>
      </c>
      <c r="E36" s="17" t="s">
        <v>109</v>
      </c>
      <c r="F36" s="17" t="s">
        <v>117</v>
      </c>
      <c r="G36" s="17" t="s">
        <v>117</v>
      </c>
    </row>
    <row r="37" spans="2:7" x14ac:dyDescent="0.25">
      <c r="B37" s="15" t="s">
        <v>185</v>
      </c>
      <c r="C37" s="11" t="s">
        <v>113</v>
      </c>
      <c r="D37" s="11" t="s">
        <v>113</v>
      </c>
      <c r="E37" s="11" t="s">
        <v>113</v>
      </c>
      <c r="F37" s="11" t="s">
        <v>113</v>
      </c>
      <c r="G37" s="11" t="s">
        <v>113</v>
      </c>
    </row>
    <row r="38" spans="2:7" ht="30" x14ac:dyDescent="0.25">
      <c r="B38" s="15" t="s">
        <v>180</v>
      </c>
      <c r="C38" s="17" t="s">
        <v>113</v>
      </c>
      <c r="D38" s="17" t="s">
        <v>101</v>
      </c>
      <c r="E38" s="17" t="s">
        <v>105</v>
      </c>
      <c r="F38" s="17" t="s">
        <v>101</v>
      </c>
      <c r="G38" s="17" t="s">
        <v>113</v>
      </c>
    </row>
    <row r="39" spans="2:7" ht="30" x14ac:dyDescent="0.25">
      <c r="B39" s="15" t="s">
        <v>181</v>
      </c>
      <c r="C39" s="11" t="s">
        <v>101</v>
      </c>
      <c r="D39" s="11" t="s">
        <v>117</v>
      </c>
      <c r="E39" s="11" t="s">
        <v>113</v>
      </c>
      <c r="F39" s="11" t="s">
        <v>105</v>
      </c>
      <c r="G39" s="11" t="s">
        <v>101</v>
      </c>
    </row>
    <row r="40" spans="2:7" x14ac:dyDescent="0.25">
      <c r="B40" s="15" t="s">
        <v>192</v>
      </c>
      <c r="C40" s="17" t="s">
        <v>113</v>
      </c>
      <c r="D40" s="17" t="s">
        <v>113</v>
      </c>
      <c r="E40" s="17" t="s">
        <v>101</v>
      </c>
      <c r="F40" s="17" t="s">
        <v>113</v>
      </c>
      <c r="G40" s="17" t="s">
        <v>101</v>
      </c>
    </row>
    <row r="41" spans="2:7" x14ac:dyDescent="0.25">
      <c r="B41" s="15" t="s">
        <v>198</v>
      </c>
      <c r="C41" s="11" t="s">
        <v>113</v>
      </c>
      <c r="D41" s="11" t="s">
        <v>105</v>
      </c>
      <c r="E41" s="13"/>
      <c r="F41" s="11" t="s">
        <v>101</v>
      </c>
      <c r="G41" s="11" t="s">
        <v>113</v>
      </c>
    </row>
    <row r="42" spans="2:7" x14ac:dyDescent="0.25">
      <c r="B42" s="15" t="s">
        <v>164</v>
      </c>
      <c r="C42" s="17" t="s">
        <v>113</v>
      </c>
      <c r="D42" s="17" t="s">
        <v>113</v>
      </c>
      <c r="E42" s="17" t="s">
        <v>117</v>
      </c>
      <c r="F42" s="17" t="s">
        <v>101</v>
      </c>
      <c r="G42" s="17" t="s">
        <v>113</v>
      </c>
    </row>
    <row r="43" spans="2:7" x14ac:dyDescent="0.25">
      <c r="B43" s="15" t="s">
        <v>156</v>
      </c>
      <c r="C43" s="11"/>
      <c r="D43" s="11" t="s">
        <v>105</v>
      </c>
      <c r="E43" s="11" t="s">
        <v>113</v>
      </c>
      <c r="F43" s="11" t="s">
        <v>109</v>
      </c>
      <c r="G43" s="11" t="s">
        <v>113</v>
      </c>
    </row>
    <row r="44" spans="2:7" x14ac:dyDescent="0.25">
      <c r="B44" s="15" t="s">
        <v>166</v>
      </c>
      <c r="C44" s="17" t="s">
        <v>117</v>
      </c>
      <c r="D44" s="17" t="s">
        <v>113</v>
      </c>
      <c r="E44" s="17" t="s">
        <v>113</v>
      </c>
      <c r="F44" s="17" t="s">
        <v>113</v>
      </c>
      <c r="G44" s="17" t="s">
        <v>113</v>
      </c>
    </row>
    <row r="45" spans="2:7" ht="30" x14ac:dyDescent="0.25">
      <c r="B45" s="15" t="s">
        <v>171</v>
      </c>
      <c r="C45" s="11" t="s">
        <v>101</v>
      </c>
      <c r="D45" s="11" t="s">
        <v>101</v>
      </c>
      <c r="E45" s="11" t="s">
        <v>101</v>
      </c>
      <c r="F45" s="11" t="s">
        <v>113</v>
      </c>
      <c r="G45" s="11" t="s">
        <v>117</v>
      </c>
    </row>
    <row r="46" spans="2:7" x14ac:dyDescent="0.25">
      <c r="B46" s="15" t="s">
        <v>168</v>
      </c>
      <c r="C46" s="17" t="s">
        <v>113</v>
      </c>
      <c r="D46" s="17" t="s">
        <v>113</v>
      </c>
      <c r="E46" s="17" t="s">
        <v>113</v>
      </c>
      <c r="F46" s="17" t="s">
        <v>105</v>
      </c>
      <c r="G46" s="17" t="s">
        <v>113</v>
      </c>
    </row>
    <row r="47" spans="2:7" ht="30" x14ac:dyDescent="0.25">
      <c r="B47" s="15" t="s">
        <v>150</v>
      </c>
      <c r="C47" s="11" t="s">
        <v>105</v>
      </c>
      <c r="D47" s="11" t="s">
        <v>101</v>
      </c>
      <c r="E47" s="11" t="s">
        <v>113</v>
      </c>
      <c r="F47" s="11" t="s">
        <v>113</v>
      </c>
      <c r="G47" s="11" t="s">
        <v>101</v>
      </c>
    </row>
    <row r="48" spans="2:7" ht="30" x14ac:dyDescent="0.25">
      <c r="B48" s="15" t="s">
        <v>149</v>
      </c>
      <c r="C48" s="17" t="s">
        <v>113</v>
      </c>
      <c r="D48" s="17" t="s">
        <v>101</v>
      </c>
      <c r="E48" s="17" t="s">
        <v>105</v>
      </c>
      <c r="F48" s="17" t="s">
        <v>117</v>
      </c>
      <c r="G48" s="17" t="s">
        <v>113</v>
      </c>
    </row>
    <row r="49" spans="2:7" x14ac:dyDescent="0.25">
      <c r="B49" s="15" t="s">
        <v>172</v>
      </c>
      <c r="C49" s="11" t="s">
        <v>113</v>
      </c>
      <c r="D49" s="11" t="s">
        <v>105</v>
      </c>
      <c r="E49" s="11" t="s">
        <v>113</v>
      </c>
      <c r="F49" s="11" t="s">
        <v>101</v>
      </c>
      <c r="G49" s="11" t="s">
        <v>101</v>
      </c>
    </row>
    <row r="50" spans="2:7" x14ac:dyDescent="0.25">
      <c r="B50" s="15" t="s">
        <v>155</v>
      </c>
      <c r="C50" s="17" t="s">
        <v>117</v>
      </c>
      <c r="D50" s="17" t="s">
        <v>105</v>
      </c>
      <c r="E50" s="17" t="s">
        <v>113</v>
      </c>
      <c r="F50" s="17" t="s">
        <v>105</v>
      </c>
      <c r="G50" s="14"/>
    </row>
    <row r="51" spans="2:7" ht="30" x14ac:dyDescent="0.25">
      <c r="B51" s="15" t="s">
        <v>195</v>
      </c>
      <c r="C51" s="11" t="s">
        <v>109</v>
      </c>
      <c r="D51" s="11" t="s">
        <v>117</v>
      </c>
      <c r="E51" s="11" t="s">
        <v>105</v>
      </c>
      <c r="F51" s="11" t="s">
        <v>109</v>
      </c>
      <c r="G51" s="11" t="s">
        <v>101</v>
      </c>
    </row>
    <row r="52" spans="2:7" x14ac:dyDescent="0.25">
      <c r="B52" s="15" t="s">
        <v>197</v>
      </c>
      <c r="C52" s="17" t="s">
        <v>113</v>
      </c>
      <c r="D52" s="17" t="s">
        <v>113</v>
      </c>
      <c r="E52" s="17" t="s">
        <v>113</v>
      </c>
      <c r="F52" s="17" t="s">
        <v>101</v>
      </c>
      <c r="G52" s="17" t="s">
        <v>113</v>
      </c>
    </row>
    <row r="53" spans="2:7" ht="30" x14ac:dyDescent="0.25">
      <c r="B53" s="15" t="s">
        <v>196</v>
      </c>
      <c r="C53" s="11" t="s">
        <v>113</v>
      </c>
      <c r="D53" s="11" t="s">
        <v>101</v>
      </c>
      <c r="E53" s="11" t="s">
        <v>109</v>
      </c>
      <c r="F53" s="11" t="s">
        <v>117</v>
      </c>
      <c r="G53" s="11" t="s">
        <v>113</v>
      </c>
    </row>
  </sheetData>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CAB77-ACE6-4084-A68F-560CA75E9EA7}">
  <sheetPr codeName="Sheet6"/>
  <dimension ref="A3:B23"/>
  <sheetViews>
    <sheetView workbookViewId="0">
      <selection activeCell="BJ25" sqref="BJ25"/>
    </sheetView>
  </sheetViews>
  <sheetFormatPr defaultRowHeight="15" x14ac:dyDescent="0.25"/>
  <cols>
    <col min="1" max="1" width="33.85546875" bestFit="1" customWidth="1"/>
    <col min="2" max="2" width="20.28515625" bestFit="1" customWidth="1"/>
    <col min="3" max="3" width="11.28515625" bestFit="1" customWidth="1"/>
    <col min="4" max="4" width="34" bestFit="1" customWidth="1"/>
    <col min="5" max="5" width="28.140625" bestFit="1" customWidth="1"/>
    <col min="6" max="6" width="16" bestFit="1" customWidth="1"/>
    <col min="7" max="7" width="11.28515625" bestFit="1" customWidth="1"/>
    <col min="8" max="8" width="22" bestFit="1" customWidth="1"/>
    <col min="9" max="9" width="17.5703125" bestFit="1" customWidth="1"/>
    <col min="10" max="10" width="20.7109375" bestFit="1" customWidth="1"/>
    <col min="11" max="11" width="19.7109375" bestFit="1" customWidth="1"/>
    <col min="12" max="12" width="20.28515625" bestFit="1" customWidth="1"/>
    <col min="13" max="13" width="34" bestFit="1" customWidth="1"/>
    <col min="14" max="14" width="28.140625" bestFit="1" customWidth="1"/>
    <col min="15" max="15" width="16" bestFit="1" customWidth="1"/>
    <col min="16" max="16" width="22.85546875" bestFit="1" customWidth="1"/>
    <col min="17" max="17" width="16.42578125" bestFit="1" customWidth="1"/>
    <col min="18" max="18" width="28.140625" bestFit="1" customWidth="1"/>
    <col min="19" max="19" width="19.5703125" bestFit="1" customWidth="1"/>
    <col min="20" max="20" width="18.7109375" bestFit="1" customWidth="1"/>
    <col min="21" max="21" width="22" bestFit="1" customWidth="1"/>
    <col min="22" max="22" width="15.5703125" bestFit="1" customWidth="1"/>
    <col min="23" max="23" width="34" bestFit="1" customWidth="1"/>
    <col min="24" max="24" width="18.7109375" bestFit="1" customWidth="1"/>
    <col min="25" max="25" width="20" bestFit="1" customWidth="1"/>
    <col min="26" max="26" width="23.140625" bestFit="1" customWidth="1"/>
    <col min="27" max="27" width="20.28515625" bestFit="1" customWidth="1"/>
    <col min="28" max="28" width="20.85546875" bestFit="1" customWidth="1"/>
    <col min="29" max="30" width="16" bestFit="1" customWidth="1"/>
    <col min="31" max="31" width="19.140625" bestFit="1" customWidth="1"/>
    <col min="32" max="32" width="20.28515625" bestFit="1" customWidth="1"/>
    <col min="33" max="33" width="28.140625" bestFit="1" customWidth="1"/>
    <col min="34" max="34" width="23.28515625" bestFit="1" customWidth="1"/>
    <col min="35" max="35" width="23.42578125" bestFit="1" customWidth="1"/>
    <col min="36" max="36" width="28.140625" bestFit="1" customWidth="1"/>
    <col min="37" max="37" width="16" bestFit="1" customWidth="1"/>
    <col min="38" max="38" width="26.5703125" bestFit="1" customWidth="1"/>
    <col min="39" max="39" width="16.5703125" bestFit="1" customWidth="1"/>
    <col min="40" max="40" width="20.28515625" bestFit="1" customWidth="1"/>
    <col min="41" max="41" width="34" bestFit="1" customWidth="1"/>
    <col min="42" max="42" width="16" bestFit="1" customWidth="1"/>
    <col min="43" max="43" width="19.7109375" bestFit="1" customWidth="1"/>
    <col min="44" max="44" width="28.28515625" bestFit="1" customWidth="1"/>
    <col min="45" max="45" width="20.28515625" bestFit="1" customWidth="1"/>
    <col min="46" max="46" width="28.140625" bestFit="1" customWidth="1"/>
    <col min="47" max="47" width="31.42578125" bestFit="1" customWidth="1"/>
    <col min="48" max="48" width="23.5703125" bestFit="1" customWidth="1"/>
    <col min="49" max="49" width="16" bestFit="1" customWidth="1"/>
    <col min="50" max="50" width="26.7109375" bestFit="1" customWidth="1"/>
    <col min="51" max="51" width="30" bestFit="1" customWidth="1"/>
    <col min="52" max="52" width="20.28515625" bestFit="1" customWidth="1"/>
    <col min="53" max="53" width="34" bestFit="1" customWidth="1"/>
    <col min="54" max="54" width="28.140625" bestFit="1" customWidth="1"/>
    <col min="55" max="55" width="33.140625" bestFit="1" customWidth="1"/>
    <col min="56" max="56" width="29.140625" bestFit="1" customWidth="1"/>
    <col min="57" max="57" width="20.28515625" bestFit="1" customWidth="1"/>
    <col min="58" max="58" width="34" bestFit="1" customWidth="1"/>
    <col min="59" max="59" width="32.28515625" bestFit="1" customWidth="1"/>
    <col min="60" max="60" width="26.7109375" bestFit="1" customWidth="1"/>
    <col min="61" max="61" width="28.140625" bestFit="1" customWidth="1"/>
    <col min="62" max="62" width="16" bestFit="1" customWidth="1"/>
    <col min="63" max="63" width="30" bestFit="1" customWidth="1"/>
    <col min="64" max="64" width="30.85546875" bestFit="1" customWidth="1"/>
    <col min="65" max="65" width="34" bestFit="1" customWidth="1"/>
    <col min="66" max="66" width="28.140625" bestFit="1" customWidth="1"/>
    <col min="67" max="67" width="34.140625" bestFit="1" customWidth="1"/>
    <col min="68" max="68" width="29.7109375" bestFit="1" customWidth="1"/>
    <col min="69" max="69" width="32.85546875" bestFit="1" customWidth="1"/>
    <col min="70" max="70" width="29.85546875" bestFit="1" customWidth="1"/>
    <col min="71" max="71" width="20.28515625" bestFit="1" customWidth="1"/>
    <col min="72" max="72" width="28.140625" bestFit="1" customWidth="1"/>
    <col min="73" max="73" width="33" bestFit="1" customWidth="1"/>
    <col min="74" max="74" width="28.42578125" bestFit="1" customWidth="1"/>
    <col min="75" max="75" width="34" bestFit="1" customWidth="1"/>
    <col min="76" max="76" width="31.5703125" bestFit="1" customWidth="1"/>
    <col min="77" max="77" width="27.140625" bestFit="1" customWidth="1"/>
    <col min="78" max="78" width="34" bestFit="1" customWidth="1"/>
    <col min="79" max="79" width="28.140625" bestFit="1" customWidth="1"/>
    <col min="80" max="80" width="30.42578125" bestFit="1" customWidth="1"/>
    <col min="81" max="81" width="29.5703125" bestFit="1" customWidth="1"/>
    <col min="82" max="82" width="28.140625" bestFit="1" customWidth="1"/>
    <col min="83" max="83" width="16" bestFit="1" customWidth="1"/>
    <col min="84" max="84" width="32.7109375" bestFit="1" customWidth="1"/>
    <col min="85" max="85" width="29.140625" bestFit="1" customWidth="1"/>
    <col min="86" max="86" width="20.28515625" bestFit="1" customWidth="1"/>
    <col min="87" max="87" width="34" bestFit="1" customWidth="1"/>
    <col min="88" max="88" width="32.28515625" bestFit="1" customWidth="1"/>
    <col min="89" max="89" width="24" bestFit="1" customWidth="1"/>
    <col min="90" max="90" width="28.140625" bestFit="1" customWidth="1"/>
    <col min="91" max="91" width="16" bestFit="1" customWidth="1"/>
    <col min="92" max="92" width="27.140625" bestFit="1" customWidth="1"/>
    <col min="93" max="93" width="25" bestFit="1" customWidth="1"/>
    <col min="94" max="94" width="20.28515625" bestFit="1" customWidth="1"/>
    <col min="95" max="95" width="34" bestFit="1" customWidth="1"/>
    <col min="96" max="96" width="28.140625" bestFit="1" customWidth="1"/>
    <col min="97" max="97" width="22.5703125" bestFit="1" customWidth="1"/>
    <col min="98" max="98" width="25.85546875" bestFit="1" customWidth="1"/>
    <col min="99" max="99" width="41" bestFit="1" customWidth="1"/>
    <col min="100" max="100" width="16" bestFit="1" customWidth="1"/>
    <col min="101" max="101" width="44.140625" bestFit="1" customWidth="1"/>
    <col min="102" max="102" width="32.140625" bestFit="1" customWidth="1"/>
    <col min="103" max="103" width="20.28515625" bestFit="1" customWidth="1"/>
    <col min="104" max="104" width="34" bestFit="1" customWidth="1"/>
    <col min="105" max="105" width="28.140625" bestFit="1" customWidth="1"/>
    <col min="106" max="106" width="16" bestFit="1" customWidth="1"/>
    <col min="107" max="107" width="35.28515625" bestFit="1" customWidth="1"/>
    <col min="108" max="108" width="27" bestFit="1" customWidth="1"/>
    <col min="109" max="109" width="28.140625" bestFit="1" customWidth="1"/>
    <col min="110" max="110" width="30.28515625" bestFit="1" customWidth="1"/>
    <col min="111" max="111" width="21.85546875" bestFit="1" customWidth="1"/>
    <col min="112" max="112" width="25" bestFit="1" customWidth="1"/>
    <col min="113" max="113" width="19.7109375" bestFit="1" customWidth="1"/>
    <col min="114" max="114" width="28.140625" bestFit="1" customWidth="1"/>
    <col min="115" max="115" width="22.85546875" bestFit="1" customWidth="1"/>
    <col min="116" max="116" width="34" bestFit="1" customWidth="1"/>
    <col min="117" max="117" width="30.140625" bestFit="1" customWidth="1"/>
    <col min="118" max="118" width="34" bestFit="1" customWidth="1"/>
    <col min="119" max="119" width="28.5703125" bestFit="1" customWidth="1"/>
    <col min="120" max="120" width="34" bestFit="1" customWidth="1"/>
    <col min="121" max="121" width="16" bestFit="1" customWidth="1"/>
    <col min="122" max="122" width="33.42578125" bestFit="1" customWidth="1"/>
    <col min="123" max="123" width="34" bestFit="1" customWidth="1"/>
    <col min="124" max="124" width="16" bestFit="1" customWidth="1"/>
    <col min="125" max="125" width="28.5703125" bestFit="1" customWidth="1"/>
    <col min="126" max="126" width="34" bestFit="1" customWidth="1"/>
    <col min="127" max="127" width="16" bestFit="1" customWidth="1"/>
    <col min="128" max="128" width="24.140625" bestFit="1" customWidth="1"/>
    <col min="129" max="129" width="28.140625" bestFit="1" customWidth="1"/>
    <col min="130" max="130" width="16" bestFit="1" customWidth="1"/>
    <col min="131" max="131" width="28.28515625" bestFit="1" customWidth="1"/>
    <col min="132" max="132" width="28.140625" bestFit="1" customWidth="1"/>
    <col min="133" max="133" width="23" bestFit="1" customWidth="1"/>
    <col min="134" max="136" width="28.140625" bestFit="1" customWidth="1"/>
    <col min="137" max="137" width="29" bestFit="1" customWidth="1"/>
    <col min="138" max="138" width="11.28515625" bestFit="1" customWidth="1"/>
  </cols>
  <sheetData>
    <row r="3" spans="1:2" x14ac:dyDescent="0.25">
      <c r="A3" s="7" t="s">
        <v>200</v>
      </c>
      <c r="B3" s="7" t="s">
        <v>136</v>
      </c>
    </row>
    <row r="4" spans="1:2" x14ac:dyDescent="0.25">
      <c r="A4" s="7" t="s">
        <v>133</v>
      </c>
      <c r="B4" t="s">
        <v>126</v>
      </c>
    </row>
    <row r="5" spans="1:2" x14ac:dyDescent="0.25">
      <c r="A5" s="8" t="s">
        <v>107</v>
      </c>
      <c r="B5" s="9">
        <v>1</v>
      </c>
    </row>
    <row r="6" spans="1:2" x14ac:dyDescent="0.25">
      <c r="A6" s="8" t="s">
        <v>103</v>
      </c>
      <c r="B6" s="9">
        <v>1</v>
      </c>
    </row>
    <row r="7" spans="1:2" x14ac:dyDescent="0.25">
      <c r="A7" s="8" t="s">
        <v>95</v>
      </c>
      <c r="B7" s="9">
        <v>1</v>
      </c>
    </row>
    <row r="8" spans="1:2" x14ac:dyDescent="0.25">
      <c r="A8" s="8" t="s">
        <v>91</v>
      </c>
      <c r="B8" s="9">
        <v>1</v>
      </c>
    </row>
    <row r="9" spans="1:2" x14ac:dyDescent="0.25">
      <c r="A9" s="8" t="s">
        <v>87</v>
      </c>
      <c r="B9" s="9">
        <v>1</v>
      </c>
    </row>
    <row r="10" spans="1:2" x14ac:dyDescent="0.25">
      <c r="A10" s="8" t="s">
        <v>81</v>
      </c>
      <c r="B10" s="9">
        <v>1</v>
      </c>
    </row>
    <row r="11" spans="1:2" x14ac:dyDescent="0.25">
      <c r="A11" s="8" t="s">
        <v>79</v>
      </c>
      <c r="B11" s="9">
        <v>1</v>
      </c>
    </row>
    <row r="12" spans="1:2" x14ac:dyDescent="0.25">
      <c r="A12" s="8" t="s">
        <v>74</v>
      </c>
      <c r="B12" s="9">
        <v>1</v>
      </c>
    </row>
    <row r="13" spans="1:2" x14ac:dyDescent="0.25">
      <c r="A13" s="8" t="s">
        <v>70</v>
      </c>
      <c r="B13" s="9">
        <v>1</v>
      </c>
    </row>
    <row r="14" spans="1:2" x14ac:dyDescent="0.25">
      <c r="A14" s="8" t="s">
        <v>68</v>
      </c>
      <c r="B14" s="9">
        <v>1</v>
      </c>
    </row>
    <row r="15" spans="1:2" x14ac:dyDescent="0.25">
      <c r="A15" s="8" t="s">
        <v>64</v>
      </c>
      <c r="B15" s="9">
        <v>1</v>
      </c>
    </row>
    <row r="16" spans="1:2" x14ac:dyDescent="0.25">
      <c r="A16" s="8" t="s">
        <v>62</v>
      </c>
      <c r="B16" s="9">
        <v>1</v>
      </c>
    </row>
    <row r="17" spans="1:2" x14ac:dyDescent="0.25">
      <c r="A17" s="8" t="s">
        <v>54</v>
      </c>
      <c r="B17" s="9">
        <v>1</v>
      </c>
    </row>
    <row r="18" spans="1:2" x14ac:dyDescent="0.25">
      <c r="A18" s="8" t="s">
        <v>48</v>
      </c>
      <c r="B18" s="9">
        <v>1</v>
      </c>
    </row>
    <row r="19" spans="1:2" x14ac:dyDescent="0.25">
      <c r="A19" s="8" t="s">
        <v>46</v>
      </c>
      <c r="B19" s="9">
        <v>1</v>
      </c>
    </row>
    <row r="20" spans="1:2" x14ac:dyDescent="0.25">
      <c r="A20" s="8" t="s">
        <v>44</v>
      </c>
      <c r="B20" s="9">
        <v>1</v>
      </c>
    </row>
    <row r="21" spans="1:2" x14ac:dyDescent="0.25">
      <c r="A21" s="8" t="s">
        <v>35</v>
      </c>
      <c r="B21" s="9">
        <v>1</v>
      </c>
    </row>
    <row r="22" spans="1:2" x14ac:dyDescent="0.25">
      <c r="A22" s="8" t="s">
        <v>22</v>
      </c>
      <c r="B22" s="9">
        <v>1</v>
      </c>
    </row>
    <row r="23" spans="1:2" x14ac:dyDescent="0.25">
      <c r="A23" s="8" t="s">
        <v>18</v>
      </c>
      <c r="B23" s="9">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584A4-9E18-4FF1-9096-DF7B6CBA61B0}">
  <sheetPr codeName="Sheet7"/>
  <dimension ref="A3:Q23"/>
  <sheetViews>
    <sheetView topLeftCell="B1" workbookViewId="0">
      <selection activeCell="P9" sqref="P9"/>
    </sheetView>
  </sheetViews>
  <sheetFormatPr defaultRowHeight="15" x14ac:dyDescent="0.25"/>
  <cols>
    <col min="1" max="1" width="23.5703125" bestFit="1" customWidth="1"/>
    <col min="2" max="2" width="16.28515625" bestFit="1" customWidth="1"/>
    <col min="3" max="3" width="10.7109375" bestFit="1" customWidth="1"/>
    <col min="4" max="5" width="11.28515625" bestFit="1" customWidth="1"/>
    <col min="6" max="6" width="7.85546875" bestFit="1" customWidth="1"/>
    <col min="7" max="7" width="11.28515625" bestFit="1" customWidth="1"/>
    <col min="8" max="8" width="23.5703125" bestFit="1" customWidth="1"/>
    <col min="9" max="9" width="27.28515625" bestFit="1" customWidth="1"/>
    <col min="10" max="10" width="23.28515625" bestFit="1" customWidth="1"/>
    <col min="11" max="11" width="25.140625" bestFit="1" customWidth="1"/>
    <col min="12" max="12" width="39.140625" bestFit="1" customWidth="1"/>
    <col min="13" max="13" width="20" bestFit="1" customWidth="1"/>
    <col min="14" max="14" width="11.28515625" bestFit="1" customWidth="1"/>
    <col min="15" max="15" width="18.28515625" bestFit="1" customWidth="1"/>
    <col min="16" max="16" width="21.5703125" bestFit="1" customWidth="1"/>
    <col min="17" max="17" width="14.7109375" bestFit="1" customWidth="1"/>
    <col min="18" max="18" width="18" bestFit="1" customWidth="1"/>
    <col min="19" max="19" width="26.42578125" bestFit="1" customWidth="1"/>
    <col min="20" max="20" width="23.85546875" bestFit="1" customWidth="1"/>
    <col min="21" max="21" width="25" bestFit="1" customWidth="1"/>
    <col min="22" max="22" width="23.140625" bestFit="1" customWidth="1"/>
    <col min="23" max="23" width="21.7109375" bestFit="1" customWidth="1"/>
    <col min="24" max="24" width="28.140625" bestFit="1" customWidth="1"/>
    <col min="25" max="25" width="27.28515625" bestFit="1" customWidth="1"/>
    <col min="26" max="26" width="24.85546875" bestFit="1" customWidth="1"/>
    <col min="27" max="27" width="29" bestFit="1" customWidth="1"/>
    <col min="28" max="28" width="27.85546875" bestFit="1" customWidth="1"/>
    <col min="29" max="29" width="26.42578125" bestFit="1" customWidth="1"/>
    <col min="30" max="30" width="28" bestFit="1" customWidth="1"/>
    <col min="31" max="31" width="28.42578125" bestFit="1" customWidth="1"/>
    <col min="32" max="32" width="24" bestFit="1" customWidth="1"/>
    <col min="33" max="33" width="26.5703125" bestFit="1" customWidth="1"/>
    <col min="34" max="34" width="25.28515625" bestFit="1" customWidth="1"/>
    <col min="35" max="35" width="27.7109375" bestFit="1" customWidth="1"/>
    <col min="36" max="36" width="23.5703125" bestFit="1" customWidth="1"/>
    <col min="37" max="37" width="27.28515625" bestFit="1" customWidth="1"/>
    <col min="38" max="38" width="23.28515625" bestFit="1" customWidth="1"/>
    <col min="39" max="39" width="25.140625" bestFit="1" customWidth="1"/>
    <col min="40" max="40" width="22.140625" bestFit="1" customWidth="1"/>
    <col min="41" max="41" width="23.140625" bestFit="1" customWidth="1"/>
    <col min="42" max="42" width="20.7109375" bestFit="1" customWidth="1"/>
    <col min="43" max="43" width="36.85546875" bestFit="1" customWidth="1"/>
    <col min="44" max="44" width="39.140625" bestFit="1" customWidth="1"/>
    <col min="45" max="45" width="28.140625" bestFit="1" customWidth="1"/>
    <col min="46" max="46" width="23.5703125" bestFit="1" customWidth="1"/>
    <col min="47" max="47" width="30.28515625" bestFit="1" customWidth="1"/>
    <col min="48" max="48" width="25.140625" bestFit="1" customWidth="1"/>
    <col min="49" max="49" width="19.140625" bestFit="1" customWidth="1"/>
    <col min="50" max="50" width="20" bestFit="1" customWidth="1"/>
    <col min="51" max="51" width="24" bestFit="1" customWidth="1"/>
    <col min="52" max="52" width="17.85546875" bestFit="1" customWidth="1"/>
    <col min="53" max="53" width="11.28515625" bestFit="1" customWidth="1"/>
    <col min="54" max="54" width="27.85546875" bestFit="1" customWidth="1"/>
    <col min="55" max="55" width="37.7109375" bestFit="1" customWidth="1"/>
    <col min="56" max="56" width="26.42578125" bestFit="1" customWidth="1"/>
    <col min="57" max="57" width="37.7109375" bestFit="1" customWidth="1"/>
    <col min="58" max="58" width="28" bestFit="1" customWidth="1"/>
    <col min="59" max="59" width="37.7109375" bestFit="1" customWidth="1"/>
    <col min="60" max="60" width="28.42578125" bestFit="1" customWidth="1"/>
    <col min="61" max="61" width="37.7109375" bestFit="1" customWidth="1"/>
    <col min="62" max="62" width="24.5703125" bestFit="1" customWidth="1"/>
    <col min="63" max="63" width="37.7109375" bestFit="1" customWidth="1"/>
    <col min="64" max="64" width="26.5703125" bestFit="1" customWidth="1"/>
    <col min="65" max="65" width="37.7109375" bestFit="1" customWidth="1"/>
    <col min="66" max="66" width="25.28515625" bestFit="1" customWidth="1"/>
    <col min="67" max="67" width="37.7109375" bestFit="1" customWidth="1"/>
    <col min="68" max="68" width="27.7109375" bestFit="1" customWidth="1"/>
    <col min="69" max="69" width="37.7109375" bestFit="1" customWidth="1"/>
    <col min="70" max="70" width="24.5703125" bestFit="1" customWidth="1"/>
    <col min="71" max="71" width="37.7109375" bestFit="1" customWidth="1"/>
    <col min="72" max="72" width="27.28515625" bestFit="1" customWidth="1"/>
    <col min="73" max="73" width="37.7109375" bestFit="1" customWidth="1"/>
    <col min="74" max="74" width="24.5703125" bestFit="1" customWidth="1"/>
    <col min="75" max="75" width="37.7109375" bestFit="1" customWidth="1"/>
    <col min="76" max="76" width="25.140625" bestFit="1" customWidth="1"/>
    <col min="77" max="77" width="37.7109375" bestFit="1" customWidth="1"/>
    <col min="78" max="78" width="24.5703125" bestFit="1" customWidth="1"/>
    <col min="79" max="79" width="37.7109375" bestFit="1" customWidth="1"/>
    <col min="80" max="80" width="24.5703125" bestFit="1" customWidth="1"/>
    <col min="81" max="81" width="37.7109375" bestFit="1" customWidth="1"/>
    <col min="82" max="82" width="24.5703125" bestFit="1" customWidth="1"/>
    <col min="83" max="83" width="37.7109375" bestFit="1" customWidth="1"/>
    <col min="84" max="84" width="36.85546875" bestFit="1" customWidth="1"/>
    <col min="85" max="85" width="37.7109375" bestFit="1" customWidth="1"/>
    <col min="86" max="86" width="39.140625" bestFit="1" customWidth="1"/>
    <col min="87" max="87" width="37.7109375" bestFit="1" customWidth="1"/>
    <col min="88" max="88" width="28.140625" bestFit="1" customWidth="1"/>
    <col min="89" max="89" width="37.7109375" bestFit="1" customWidth="1"/>
    <col min="90" max="90" width="24.5703125" bestFit="1" customWidth="1"/>
    <col min="91" max="91" width="37.7109375" bestFit="1" customWidth="1"/>
    <col min="92" max="92" width="30.28515625" bestFit="1" customWidth="1"/>
    <col min="93" max="93" width="37.7109375" bestFit="1" customWidth="1"/>
    <col min="94" max="94" width="25.140625" bestFit="1" customWidth="1"/>
    <col min="95" max="95" width="37.7109375" bestFit="1" customWidth="1"/>
    <col min="96" max="96" width="24.5703125" bestFit="1" customWidth="1"/>
    <col min="97" max="97" width="37.7109375" bestFit="1" customWidth="1"/>
    <col min="98" max="98" width="24.5703125" bestFit="1" customWidth="1"/>
    <col min="99" max="99" width="37.7109375" bestFit="1" customWidth="1"/>
    <col min="100" max="100" width="24.5703125" bestFit="1" customWidth="1"/>
    <col min="101" max="101" width="37.7109375" bestFit="1" customWidth="1"/>
    <col min="102" max="102" width="24.5703125" bestFit="1" customWidth="1"/>
    <col min="103" max="103" width="37.7109375" bestFit="1" customWidth="1"/>
    <col min="104" max="104" width="29.7109375" bestFit="1" customWidth="1"/>
    <col min="105" max="105" width="42.85546875" bestFit="1" customWidth="1"/>
  </cols>
  <sheetData>
    <row r="3" spans="1:17" x14ac:dyDescent="0.25">
      <c r="A3" s="7" t="s">
        <v>221</v>
      </c>
      <c r="B3" s="7" t="s">
        <v>136</v>
      </c>
    </row>
    <row r="4" spans="1:17" x14ac:dyDescent="0.25">
      <c r="A4" s="7" t="s">
        <v>133</v>
      </c>
      <c r="B4" t="s">
        <v>100</v>
      </c>
    </row>
    <row r="5" spans="1:17" x14ac:dyDescent="0.25">
      <c r="A5" s="8" t="s">
        <v>35</v>
      </c>
      <c r="B5" s="9">
        <v>1</v>
      </c>
      <c r="J5" s="48"/>
      <c r="K5" s="48"/>
      <c r="L5" s="32" t="s">
        <v>112</v>
      </c>
      <c r="M5" s="44">
        <f>COUNT($B:$B)/51</f>
        <v>0.21568627450980393</v>
      </c>
      <c r="O5" t="str">
        <f>B4</f>
        <v>Monthly</v>
      </c>
      <c r="P5" s="43">
        <f>VLOOKUP(O5,L5:M9,2,0)</f>
        <v>0.21568627450980393</v>
      </c>
      <c r="Q5" s="43">
        <f>1-P5</f>
        <v>0.78431372549019607</v>
      </c>
    </row>
    <row r="6" spans="1:17" x14ac:dyDescent="0.25">
      <c r="A6" s="8" t="s">
        <v>60</v>
      </c>
      <c r="B6" s="9">
        <v>1</v>
      </c>
      <c r="K6" s="43"/>
      <c r="L6" s="32" t="s">
        <v>104</v>
      </c>
      <c r="M6" s="44">
        <f>COUNT($B:$B)/51</f>
        <v>0.21568627450980393</v>
      </c>
      <c r="O6" s="43"/>
    </row>
    <row r="7" spans="1:17" x14ac:dyDescent="0.25">
      <c r="A7" s="8" t="s">
        <v>77</v>
      </c>
      <c r="B7" s="9">
        <v>1</v>
      </c>
      <c r="L7" s="32" t="s">
        <v>100</v>
      </c>
      <c r="M7" s="44">
        <f>COUNT($B:$B)/51</f>
        <v>0.21568627450980393</v>
      </c>
    </row>
    <row r="8" spans="1:17" x14ac:dyDescent="0.25">
      <c r="A8" s="8" t="s">
        <v>20</v>
      </c>
      <c r="B8" s="9">
        <v>1</v>
      </c>
      <c r="L8" s="32" t="s">
        <v>116</v>
      </c>
      <c r="M8" s="44">
        <f>COUNT($B:$B)/51</f>
        <v>0.21568627450980393</v>
      </c>
    </row>
    <row r="9" spans="1:17" x14ac:dyDescent="0.25">
      <c r="A9" s="8" t="s">
        <v>81</v>
      </c>
      <c r="B9" s="9">
        <v>1</v>
      </c>
      <c r="L9" s="32" t="s">
        <v>108</v>
      </c>
      <c r="M9" s="44">
        <f>COUNT($B:$B)/51</f>
        <v>0.21568627450980393</v>
      </c>
    </row>
    <row r="10" spans="1:17" x14ac:dyDescent="0.25">
      <c r="A10" s="8" t="s">
        <v>13</v>
      </c>
      <c r="B10" s="9">
        <v>1</v>
      </c>
    </row>
    <row r="11" spans="1:17" x14ac:dyDescent="0.25">
      <c r="A11" s="8" t="s">
        <v>48</v>
      </c>
      <c r="B11" s="9">
        <v>1</v>
      </c>
    </row>
    <row r="12" spans="1:17" x14ac:dyDescent="0.25">
      <c r="A12" s="8" t="s">
        <v>85</v>
      </c>
      <c r="B12" s="9">
        <v>1</v>
      </c>
    </row>
    <row r="13" spans="1:17" x14ac:dyDescent="0.25">
      <c r="A13" s="8" t="s">
        <v>68</v>
      </c>
      <c r="B13" s="9">
        <v>1</v>
      </c>
      <c r="H13" s="43"/>
    </row>
    <row r="14" spans="1:17" x14ac:dyDescent="0.25">
      <c r="A14" s="8" t="s">
        <v>95</v>
      </c>
      <c r="B14" s="9">
        <v>1</v>
      </c>
    </row>
    <row r="15" spans="1:17" x14ac:dyDescent="0.25">
      <c r="A15" s="8" t="s">
        <v>28</v>
      </c>
      <c r="B15" s="9">
        <v>1</v>
      </c>
    </row>
    <row r="23" spans="9:9" x14ac:dyDescent="0.25">
      <c r="I23" s="43"/>
    </row>
  </sheetData>
  <pageMargins left="0.7" right="0.7" top="0.75" bottom="0.75" header="0.3" footer="0.3"/>
  <pageSetup orientation="portrait" horizontalDpi="200" verticalDpi="2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7AFCD-075F-42A8-A8AB-54AA47A40DB7}">
  <sheetPr codeName="Sheet8"/>
  <dimension ref="A1:O56"/>
  <sheetViews>
    <sheetView workbookViewId="0">
      <selection activeCell="H25" sqref="H25"/>
    </sheetView>
  </sheetViews>
  <sheetFormatPr defaultRowHeight="15" x14ac:dyDescent="0.25"/>
  <cols>
    <col min="1" max="1" width="38.85546875" bestFit="1" customWidth="1"/>
    <col min="2" max="2" width="39.42578125" bestFit="1" customWidth="1"/>
    <col min="6" max="6" width="12.42578125" bestFit="1" customWidth="1"/>
    <col min="9" max="9" width="9.42578125" bestFit="1" customWidth="1"/>
    <col min="13" max="13" width="20.5703125" bestFit="1" customWidth="1"/>
    <col min="15" max="15" width="11.85546875" bestFit="1" customWidth="1"/>
  </cols>
  <sheetData>
    <row r="1" spans="1:15" x14ac:dyDescent="0.25">
      <c r="L1" t="str">
        <f>Dashboard!O9</f>
        <v>Detractor</v>
      </c>
    </row>
    <row r="2" spans="1:15" ht="22.5" x14ac:dyDescent="0.3">
      <c r="F2" s="26"/>
      <c r="G2" s="26"/>
      <c r="H2" s="26"/>
      <c r="I2" s="26"/>
      <c r="J2" s="26"/>
      <c r="K2" s="46"/>
      <c r="L2">
        <f>VLOOKUP(L1,M2:O4,3,0)</f>
        <v>23</v>
      </c>
      <c r="M2" s="32" t="s">
        <v>204</v>
      </c>
      <c r="N2" s="44">
        <f>COUNTIF(B4:B54,"&lt;=7")/COUNTA(A4:A54)</f>
        <v>0.45098039215686275</v>
      </c>
      <c r="O2" s="32">
        <f>COUNTIF(B4:B54,"&lt;=7")</f>
        <v>23</v>
      </c>
    </row>
    <row r="3" spans="1:15" ht="22.5" x14ac:dyDescent="0.3">
      <c r="A3" s="7" t="s">
        <v>133</v>
      </c>
      <c r="B3" t="s">
        <v>203</v>
      </c>
      <c r="F3" s="45"/>
      <c r="G3" s="26"/>
      <c r="H3" s="26"/>
      <c r="I3" s="26"/>
      <c r="J3" s="26"/>
      <c r="K3" s="46"/>
      <c r="M3" s="32" t="s">
        <v>205</v>
      </c>
      <c r="N3" s="44">
        <f>COUNTIF(B4:B54,"=8")/COUNTA(A4:A54)</f>
        <v>1.9607843137254902E-2</v>
      </c>
      <c r="O3" s="32">
        <f>COUNTIF(B4:B54,"=8")</f>
        <v>1</v>
      </c>
    </row>
    <row r="4" spans="1:15" ht="22.5" x14ac:dyDescent="0.3">
      <c r="A4" s="8" t="s">
        <v>148</v>
      </c>
      <c r="B4" s="9">
        <v>10</v>
      </c>
      <c r="D4">
        <f>B4*10</f>
        <v>100</v>
      </c>
      <c r="F4" s="26"/>
      <c r="G4" s="26"/>
      <c r="H4" s="26"/>
      <c r="I4" s="26"/>
      <c r="J4" s="26"/>
      <c r="K4" s="47"/>
      <c r="M4" s="32" t="s">
        <v>206</v>
      </c>
      <c r="N4" s="44">
        <f>COUNTIF(B4:B54,"&gt;=9")/COUNTA(A4:A54)</f>
        <v>3.9215686274509803E-2</v>
      </c>
      <c r="O4" s="32">
        <f>COUNTIF(B4:B54,"&gt;=9")</f>
        <v>2</v>
      </c>
    </row>
    <row r="5" spans="1:15" ht="22.5" x14ac:dyDescent="0.3">
      <c r="A5" s="8" t="s">
        <v>149</v>
      </c>
      <c r="B5" s="9">
        <v>5</v>
      </c>
      <c r="D5">
        <f t="shared" ref="D5:D54" si="0">B5*10</f>
        <v>50</v>
      </c>
      <c r="F5" s="26"/>
      <c r="G5" s="26"/>
      <c r="H5" s="26"/>
      <c r="I5" s="26"/>
      <c r="J5" s="26"/>
      <c r="K5" s="47"/>
    </row>
    <row r="6" spans="1:15" ht="22.5" x14ac:dyDescent="0.3">
      <c r="A6" s="8" t="s">
        <v>150</v>
      </c>
      <c r="B6" s="9"/>
      <c r="D6">
        <f t="shared" si="0"/>
        <v>0</v>
      </c>
      <c r="F6" s="33"/>
      <c r="G6" s="26"/>
      <c r="H6" s="26"/>
      <c r="I6" s="26"/>
      <c r="J6" s="26"/>
      <c r="K6" s="47"/>
    </row>
    <row r="7" spans="1:15" x14ac:dyDescent="0.25">
      <c r="A7" s="8" t="s">
        <v>151</v>
      </c>
      <c r="B7" s="9"/>
      <c r="D7">
        <f t="shared" si="0"/>
        <v>0</v>
      </c>
      <c r="F7" s="33"/>
      <c r="G7" s="33"/>
    </row>
    <row r="8" spans="1:15" x14ac:dyDescent="0.25">
      <c r="A8" s="8" t="s">
        <v>152</v>
      </c>
      <c r="B8" s="9">
        <v>6</v>
      </c>
      <c r="D8">
        <f t="shared" si="0"/>
        <v>60</v>
      </c>
      <c r="F8" s="33"/>
    </row>
    <row r="9" spans="1:15" x14ac:dyDescent="0.25">
      <c r="A9" s="8" t="s">
        <v>153</v>
      </c>
      <c r="B9" s="9">
        <v>1</v>
      </c>
      <c r="D9">
        <f t="shared" si="0"/>
        <v>10</v>
      </c>
      <c r="F9" s="33"/>
    </row>
    <row r="10" spans="1:15" x14ac:dyDescent="0.25">
      <c r="A10" s="8" t="s">
        <v>154</v>
      </c>
      <c r="B10" s="9">
        <v>7</v>
      </c>
      <c r="D10">
        <f t="shared" si="0"/>
        <v>70</v>
      </c>
    </row>
    <row r="11" spans="1:15" x14ac:dyDescent="0.25">
      <c r="A11" s="8" t="s">
        <v>155</v>
      </c>
      <c r="B11" s="9"/>
      <c r="D11">
        <f t="shared" si="0"/>
        <v>0</v>
      </c>
      <c r="M11" s="43">
        <f>VLOOKUP(Dashboard!O9,M2:N4,2,0)</f>
        <v>0.45098039215686275</v>
      </c>
      <c r="N11" s="43">
        <f>1-M11</f>
        <v>0.5490196078431373</v>
      </c>
    </row>
    <row r="12" spans="1:15" x14ac:dyDescent="0.25">
      <c r="A12" s="8" t="s">
        <v>156</v>
      </c>
      <c r="B12" s="9"/>
      <c r="D12">
        <f t="shared" si="0"/>
        <v>0</v>
      </c>
    </row>
    <row r="13" spans="1:15" x14ac:dyDescent="0.25">
      <c r="A13" s="8" t="s">
        <v>157</v>
      </c>
      <c r="B13" s="9">
        <v>7</v>
      </c>
      <c r="D13">
        <f t="shared" si="0"/>
        <v>70</v>
      </c>
      <c r="M13" s="43"/>
    </row>
    <row r="14" spans="1:15" x14ac:dyDescent="0.25">
      <c r="A14" s="8" t="s">
        <v>158</v>
      </c>
      <c r="B14" s="9">
        <v>3</v>
      </c>
      <c r="D14">
        <f t="shared" si="0"/>
        <v>30</v>
      </c>
      <c r="J14" s="43"/>
      <c r="K14" s="43"/>
      <c r="M14" s="43"/>
    </row>
    <row r="15" spans="1:15" x14ac:dyDescent="0.25">
      <c r="A15" s="8" t="s">
        <v>159</v>
      </c>
      <c r="B15" s="9"/>
      <c r="D15">
        <f t="shared" si="0"/>
        <v>0</v>
      </c>
      <c r="M15" s="43"/>
    </row>
    <row r="16" spans="1:15" x14ac:dyDescent="0.25">
      <c r="A16" s="8" t="s">
        <v>160</v>
      </c>
      <c r="B16" s="9">
        <v>3</v>
      </c>
      <c r="D16">
        <f t="shared" si="0"/>
        <v>30</v>
      </c>
      <c r="I16" s="32"/>
      <c r="J16" s="32" t="s">
        <v>4</v>
      </c>
      <c r="K16" s="32" t="s">
        <v>216</v>
      </c>
      <c r="L16" s="32" t="s">
        <v>36</v>
      </c>
      <c r="M16" s="32" t="s">
        <v>219</v>
      </c>
      <c r="N16" s="32" t="s">
        <v>3</v>
      </c>
      <c r="O16" s="69" t="s">
        <v>33</v>
      </c>
    </row>
    <row r="17" spans="1:15" x14ac:dyDescent="0.25">
      <c r="A17" s="8" t="s">
        <v>161</v>
      </c>
      <c r="B17" s="9">
        <v>6</v>
      </c>
      <c r="D17">
        <f t="shared" si="0"/>
        <v>60</v>
      </c>
      <c r="I17" s="32" t="s">
        <v>204</v>
      </c>
      <c r="J17" s="32">
        <f>COUNTIFS(B4:B54,"&lt;=7",A4:A54,"ALC*")</f>
        <v>10</v>
      </c>
      <c r="K17" s="32">
        <f>COUNTIFS(B4:B54,"&lt;=7",A4:A54,"HDLM*")</f>
        <v>5</v>
      </c>
      <c r="L17" s="32">
        <f>COUNTIFS(B4:B54,"&lt;=7",A4:A54,"Here*")</f>
        <v>3</v>
      </c>
      <c r="M17" s="32">
        <f>COUNTIFS(B4:B54,"&lt;=7",A4:A54,"*Localization &amp; *")</f>
        <v>2</v>
      </c>
      <c r="N17" s="32">
        <f>COUNTIFS(B4:B54,"&lt;=7",A4:A54,"MFA*")</f>
        <v>0</v>
      </c>
      <c r="O17" s="32">
        <f>COUNTIFS(B4:B54,"&lt;=7",A4:A54,"Localization*")</f>
        <v>5</v>
      </c>
    </row>
    <row r="18" spans="1:15" x14ac:dyDescent="0.25">
      <c r="A18" s="8" t="s">
        <v>162</v>
      </c>
      <c r="B18" s="9">
        <v>7</v>
      </c>
      <c r="D18">
        <f t="shared" si="0"/>
        <v>70</v>
      </c>
      <c r="I18" s="32" t="s">
        <v>205</v>
      </c>
      <c r="J18" s="32">
        <f>COUNTIFS(B4:B54,"=8",A4:A54,"ALC*")</f>
        <v>0</v>
      </c>
      <c r="K18" s="32">
        <f>COUNTIFS(B4:B54,"=8",A4:A54,"HDLM*")</f>
        <v>0</v>
      </c>
      <c r="L18" s="32">
        <f>COUNTIFS(B4:B54,"=8",A4:A54,"Here*")</f>
        <v>0</v>
      </c>
      <c r="M18" s="32">
        <f>COUNTIFS(B4:B54,"=8",A4:A54,"Localization &amp;*")</f>
        <v>0</v>
      </c>
      <c r="N18" s="32">
        <f>COUNTIFS(B4:B54,"=8",A4:A54,"MFA*")</f>
        <v>1</v>
      </c>
      <c r="O18" s="32">
        <f>COUNTIFS(B4:B54,"=8",A4:A54,"Localization*")</f>
        <v>0</v>
      </c>
    </row>
    <row r="19" spans="1:15" x14ac:dyDescent="0.25">
      <c r="A19" s="8" t="s">
        <v>163</v>
      </c>
      <c r="B19" s="9">
        <v>2</v>
      </c>
      <c r="D19">
        <f t="shared" si="0"/>
        <v>20</v>
      </c>
      <c r="I19" s="32" t="s">
        <v>206</v>
      </c>
      <c r="J19" s="32">
        <f>COUNTIFS(B4:B54,"&gt;=9",A4:A54,"ALC*")</f>
        <v>1</v>
      </c>
      <c r="K19" s="32">
        <f>COUNTIFS(B4:B54,"&gt;=9",A4:A54,"HDLM*")</f>
        <v>1</v>
      </c>
      <c r="L19" s="32">
        <f>COUNTIFS(B4:B54,"&gt;=9",A4:A54,"Here*")</f>
        <v>0</v>
      </c>
      <c r="M19" s="32">
        <f>COUNTIFS(B4:B54,"&gt;=9",A4:A54,"Localization &amp;*")</f>
        <v>0</v>
      </c>
      <c r="N19" s="32">
        <f>COUNTIFS(B4:B54,"&gt;=9",A4:A54,"MFA*")</f>
        <v>0</v>
      </c>
      <c r="O19" s="32">
        <f>COUNTIFS(B4:B54,"&gt;=9",A4:A54,"Localization*")</f>
        <v>0</v>
      </c>
    </row>
    <row r="20" spans="1:15" x14ac:dyDescent="0.25">
      <c r="A20" s="8" t="s">
        <v>164</v>
      </c>
      <c r="B20" s="9"/>
      <c r="D20">
        <f t="shared" si="0"/>
        <v>0</v>
      </c>
    </row>
    <row r="21" spans="1:15" x14ac:dyDescent="0.25">
      <c r="A21" s="8" t="s">
        <v>165</v>
      </c>
      <c r="B21" s="9">
        <v>3</v>
      </c>
      <c r="D21">
        <f t="shared" si="0"/>
        <v>30</v>
      </c>
    </row>
    <row r="22" spans="1:15" x14ac:dyDescent="0.25">
      <c r="A22" s="8" t="s">
        <v>166</v>
      </c>
      <c r="B22" s="9"/>
      <c r="D22">
        <f t="shared" si="0"/>
        <v>0</v>
      </c>
      <c r="I22" s="32"/>
      <c r="J22" s="32" t="s">
        <v>4</v>
      </c>
      <c r="K22" s="32" t="s">
        <v>216</v>
      </c>
      <c r="L22" s="32" t="s">
        <v>36</v>
      </c>
      <c r="M22" s="32" t="s">
        <v>219</v>
      </c>
      <c r="N22" s="32" t="s">
        <v>3</v>
      </c>
      <c r="O22" s="69" t="s">
        <v>218</v>
      </c>
    </row>
    <row r="23" spans="1:15" x14ac:dyDescent="0.25">
      <c r="A23" s="8" t="s">
        <v>167</v>
      </c>
      <c r="B23" s="9"/>
      <c r="D23">
        <f t="shared" si="0"/>
        <v>0</v>
      </c>
      <c r="I23" s="32" t="str">
        <f>Dashboard!O9</f>
        <v>Detractor</v>
      </c>
      <c r="J23" s="32">
        <f>VLOOKUP(I23,I16:O19,2,0)</f>
        <v>10</v>
      </c>
      <c r="K23" s="32">
        <f>VLOOKUP(I23,I16:O19,3,0)</f>
        <v>5</v>
      </c>
      <c r="L23" s="32">
        <f>VLOOKUP(I23,I16:O19,4,0)</f>
        <v>3</v>
      </c>
      <c r="M23" s="32">
        <f>VLOOKUP(I23,I16:O19,5,0)</f>
        <v>2</v>
      </c>
      <c r="N23" s="32">
        <f>VLOOKUP(I23,I16:O19,6,0)</f>
        <v>0</v>
      </c>
      <c r="O23" s="32">
        <f>VLOOKUP(I23,I16:O19,7,0)</f>
        <v>5</v>
      </c>
    </row>
    <row r="24" spans="1:15" x14ac:dyDescent="0.25">
      <c r="A24" s="8" t="s">
        <v>168</v>
      </c>
      <c r="B24" s="9">
        <v>10</v>
      </c>
      <c r="D24">
        <f t="shared" si="0"/>
        <v>100</v>
      </c>
    </row>
    <row r="25" spans="1:15" x14ac:dyDescent="0.25">
      <c r="A25" s="8" t="s">
        <v>169</v>
      </c>
      <c r="B25" s="9">
        <v>5</v>
      </c>
      <c r="D25">
        <f t="shared" si="0"/>
        <v>50</v>
      </c>
    </row>
    <row r="26" spans="1:15" x14ac:dyDescent="0.25">
      <c r="A26" s="8" t="s">
        <v>170</v>
      </c>
      <c r="B26" s="9"/>
      <c r="D26">
        <f t="shared" si="0"/>
        <v>0</v>
      </c>
    </row>
    <row r="27" spans="1:15" x14ac:dyDescent="0.25">
      <c r="A27" s="8" t="s">
        <v>171</v>
      </c>
      <c r="B27" s="9"/>
      <c r="D27">
        <f t="shared" si="0"/>
        <v>0</v>
      </c>
    </row>
    <row r="28" spans="1:15" x14ac:dyDescent="0.25">
      <c r="A28" s="8" t="s">
        <v>172</v>
      </c>
      <c r="B28" s="9"/>
      <c r="D28">
        <f t="shared" si="0"/>
        <v>0</v>
      </c>
    </row>
    <row r="29" spans="1:15" x14ac:dyDescent="0.25">
      <c r="A29" s="8" t="s">
        <v>173</v>
      </c>
      <c r="B29" s="9">
        <v>4</v>
      </c>
      <c r="D29">
        <f t="shared" si="0"/>
        <v>40</v>
      </c>
    </row>
    <row r="30" spans="1:15" x14ac:dyDescent="0.25">
      <c r="A30" s="8" t="s">
        <v>174</v>
      </c>
      <c r="B30" s="9"/>
      <c r="D30">
        <f t="shared" si="0"/>
        <v>0</v>
      </c>
    </row>
    <row r="31" spans="1:15" x14ac:dyDescent="0.25">
      <c r="A31" s="8" t="s">
        <v>175</v>
      </c>
      <c r="B31" s="9">
        <v>6</v>
      </c>
      <c r="D31">
        <f t="shared" si="0"/>
        <v>60</v>
      </c>
    </row>
    <row r="32" spans="1:15" x14ac:dyDescent="0.25">
      <c r="A32" s="8" t="s">
        <v>176</v>
      </c>
      <c r="B32" s="9"/>
      <c r="D32">
        <f t="shared" si="0"/>
        <v>0</v>
      </c>
    </row>
    <row r="33" spans="1:4" x14ac:dyDescent="0.25">
      <c r="A33" s="8" t="s">
        <v>177</v>
      </c>
      <c r="B33" s="9">
        <v>4</v>
      </c>
      <c r="D33">
        <f t="shared" si="0"/>
        <v>40</v>
      </c>
    </row>
    <row r="34" spans="1:4" x14ac:dyDescent="0.25">
      <c r="A34" s="8" t="s">
        <v>178</v>
      </c>
      <c r="B34" s="9"/>
      <c r="D34">
        <f t="shared" si="0"/>
        <v>0</v>
      </c>
    </row>
    <row r="35" spans="1:4" x14ac:dyDescent="0.25">
      <c r="A35" s="8" t="s">
        <v>179</v>
      </c>
      <c r="B35" s="9">
        <v>3</v>
      </c>
      <c r="D35">
        <f t="shared" si="0"/>
        <v>30</v>
      </c>
    </row>
    <row r="36" spans="1:4" x14ac:dyDescent="0.25">
      <c r="A36" s="8" t="s">
        <v>180</v>
      </c>
      <c r="B36" s="9"/>
      <c r="D36">
        <f t="shared" si="0"/>
        <v>0</v>
      </c>
    </row>
    <row r="37" spans="1:4" x14ac:dyDescent="0.25">
      <c r="A37" s="8" t="s">
        <v>181</v>
      </c>
      <c r="B37" s="9"/>
      <c r="D37">
        <f t="shared" si="0"/>
        <v>0</v>
      </c>
    </row>
    <row r="38" spans="1:4" x14ac:dyDescent="0.25">
      <c r="A38" s="8" t="s">
        <v>182</v>
      </c>
      <c r="B38" s="9"/>
      <c r="D38">
        <f t="shared" si="0"/>
        <v>0</v>
      </c>
    </row>
    <row r="39" spans="1:4" x14ac:dyDescent="0.25">
      <c r="A39" s="8" t="s">
        <v>183</v>
      </c>
      <c r="B39" s="9">
        <v>3</v>
      </c>
      <c r="D39">
        <f t="shared" si="0"/>
        <v>30</v>
      </c>
    </row>
    <row r="40" spans="1:4" x14ac:dyDescent="0.25">
      <c r="A40" s="8" t="s">
        <v>184</v>
      </c>
      <c r="B40" s="9"/>
      <c r="D40">
        <f t="shared" si="0"/>
        <v>0</v>
      </c>
    </row>
    <row r="41" spans="1:4" x14ac:dyDescent="0.25">
      <c r="A41" s="8" t="s">
        <v>185</v>
      </c>
      <c r="B41" s="9"/>
      <c r="D41">
        <f t="shared" si="0"/>
        <v>0</v>
      </c>
    </row>
    <row r="42" spans="1:4" x14ac:dyDescent="0.25">
      <c r="A42" s="8" t="s">
        <v>186</v>
      </c>
      <c r="B42" s="9">
        <v>4</v>
      </c>
      <c r="D42">
        <f t="shared" si="0"/>
        <v>40</v>
      </c>
    </row>
    <row r="43" spans="1:4" x14ac:dyDescent="0.25">
      <c r="A43" s="8" t="s">
        <v>187</v>
      </c>
      <c r="B43" s="9"/>
      <c r="D43">
        <f t="shared" si="0"/>
        <v>0</v>
      </c>
    </row>
    <row r="44" spans="1:4" x14ac:dyDescent="0.25">
      <c r="A44" s="8" t="s">
        <v>188</v>
      </c>
      <c r="B44" s="9"/>
      <c r="D44">
        <f t="shared" si="0"/>
        <v>0</v>
      </c>
    </row>
    <row r="45" spans="1:4" x14ac:dyDescent="0.25">
      <c r="A45" s="8" t="s">
        <v>189</v>
      </c>
      <c r="B45" s="9">
        <v>4</v>
      </c>
      <c r="D45">
        <f t="shared" si="0"/>
        <v>40</v>
      </c>
    </row>
    <row r="46" spans="1:4" x14ac:dyDescent="0.25">
      <c r="A46" s="8" t="s">
        <v>190</v>
      </c>
      <c r="B46" s="9">
        <v>3</v>
      </c>
      <c r="D46">
        <f t="shared" si="0"/>
        <v>30</v>
      </c>
    </row>
    <row r="47" spans="1:4" x14ac:dyDescent="0.25">
      <c r="A47" s="8" t="s">
        <v>191</v>
      </c>
      <c r="B47" s="9">
        <v>3</v>
      </c>
      <c r="D47">
        <f t="shared" si="0"/>
        <v>30</v>
      </c>
    </row>
    <row r="48" spans="1:4" x14ac:dyDescent="0.25">
      <c r="A48" s="8" t="s">
        <v>192</v>
      </c>
      <c r="B48" s="9">
        <v>3</v>
      </c>
      <c r="D48">
        <f t="shared" si="0"/>
        <v>30</v>
      </c>
    </row>
    <row r="49" spans="1:4" x14ac:dyDescent="0.25">
      <c r="A49" s="8" t="s">
        <v>193</v>
      </c>
      <c r="B49" s="9">
        <v>4</v>
      </c>
      <c r="D49">
        <f t="shared" si="0"/>
        <v>40</v>
      </c>
    </row>
    <row r="50" spans="1:4" x14ac:dyDescent="0.25">
      <c r="A50" s="8" t="s">
        <v>194</v>
      </c>
      <c r="B50" s="9"/>
      <c r="D50">
        <f t="shared" si="0"/>
        <v>0</v>
      </c>
    </row>
    <row r="51" spans="1:4" x14ac:dyDescent="0.25">
      <c r="A51" s="8" t="s">
        <v>195</v>
      </c>
      <c r="B51" s="9"/>
      <c r="D51">
        <f t="shared" si="0"/>
        <v>0</v>
      </c>
    </row>
    <row r="52" spans="1:4" x14ac:dyDescent="0.25">
      <c r="A52" s="8" t="s">
        <v>196</v>
      </c>
      <c r="B52" s="9">
        <v>8</v>
      </c>
      <c r="D52">
        <f t="shared" si="0"/>
        <v>80</v>
      </c>
    </row>
    <row r="53" spans="1:4" x14ac:dyDescent="0.25">
      <c r="A53" s="8" t="s">
        <v>197</v>
      </c>
      <c r="B53" s="9"/>
      <c r="D53">
        <f t="shared" si="0"/>
        <v>0</v>
      </c>
    </row>
    <row r="54" spans="1:4" x14ac:dyDescent="0.25">
      <c r="A54" s="8" t="s">
        <v>198</v>
      </c>
      <c r="B54" s="9"/>
      <c r="D54">
        <f t="shared" si="0"/>
        <v>0</v>
      </c>
    </row>
    <row r="55" spans="1:4" x14ac:dyDescent="0.25">
      <c r="A55" s="8" t="s">
        <v>134</v>
      </c>
      <c r="B55" s="9"/>
    </row>
    <row r="56" spans="1:4" x14ac:dyDescent="0.25">
      <c r="A56" s="8" t="s">
        <v>135</v>
      </c>
      <c r="B56" s="9">
        <v>124</v>
      </c>
    </row>
  </sheetData>
  <pageMargins left="0.7" right="0.7" top="0.75" bottom="0.75" header="0.3" footer="0.3"/>
  <pageSetup orientation="portrait" horizontalDpi="200" verticalDpi="20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13BE4-97B7-4909-86C9-B74D5735FA34}">
  <sheetPr codeName="Sheet9"/>
  <dimension ref="A3:E35"/>
  <sheetViews>
    <sheetView workbookViewId="0">
      <selection activeCell="J16" sqref="J16"/>
    </sheetView>
  </sheetViews>
  <sheetFormatPr defaultRowHeight="15" x14ac:dyDescent="0.25"/>
  <cols>
    <col min="1" max="1" width="37.7109375" bestFit="1" customWidth="1"/>
    <col min="2" max="2" width="16.28515625" bestFit="1" customWidth="1"/>
    <col min="3" max="3" width="11.28515625" bestFit="1" customWidth="1"/>
    <col min="4" max="4" width="7.85546875" bestFit="1" customWidth="1"/>
    <col min="5" max="7" width="11.28515625" bestFit="1" customWidth="1"/>
    <col min="8" max="8" width="19.85546875" bestFit="1" customWidth="1"/>
    <col min="9" max="9" width="14.5703125" bestFit="1" customWidth="1"/>
    <col min="10" max="10" width="16.85546875" bestFit="1" customWidth="1"/>
    <col min="11" max="11" width="13.7109375" bestFit="1" customWidth="1"/>
    <col min="12" max="12" width="18.140625" bestFit="1" customWidth="1"/>
    <col min="13" max="13" width="15.85546875" bestFit="1" customWidth="1"/>
    <col min="14" max="14" width="14.140625" bestFit="1" customWidth="1"/>
    <col min="15" max="15" width="18.28515625" bestFit="1" customWidth="1"/>
    <col min="16" max="16" width="21.5703125" bestFit="1" customWidth="1"/>
    <col min="17" max="17" width="14.7109375" bestFit="1" customWidth="1"/>
    <col min="18" max="18" width="18" bestFit="1" customWidth="1"/>
    <col min="19" max="19" width="26.42578125" bestFit="1" customWidth="1"/>
    <col min="20" max="20" width="23.85546875" bestFit="1" customWidth="1"/>
    <col min="21" max="21" width="25" bestFit="1" customWidth="1"/>
    <col min="22" max="22" width="23.140625" bestFit="1" customWidth="1"/>
    <col min="23" max="23" width="21.7109375" bestFit="1" customWidth="1"/>
    <col min="24" max="24" width="28.140625" bestFit="1" customWidth="1"/>
    <col min="25" max="25" width="27.28515625" bestFit="1" customWidth="1"/>
    <col min="26" max="26" width="24.85546875" bestFit="1" customWidth="1"/>
    <col min="27" max="27" width="29" bestFit="1" customWidth="1"/>
    <col min="28" max="28" width="27.85546875" bestFit="1" customWidth="1"/>
    <col min="29" max="29" width="26.42578125" bestFit="1" customWidth="1"/>
    <col min="30" max="30" width="28" bestFit="1" customWidth="1"/>
    <col min="31" max="31" width="28.42578125" bestFit="1" customWidth="1"/>
    <col min="32" max="32" width="24" bestFit="1" customWidth="1"/>
    <col min="33" max="33" width="26.5703125" bestFit="1" customWidth="1"/>
    <col min="34" max="34" width="25.28515625" bestFit="1" customWidth="1"/>
    <col min="35" max="35" width="27.7109375" bestFit="1" customWidth="1"/>
    <col min="36" max="36" width="23.5703125" bestFit="1" customWidth="1"/>
    <col min="37" max="37" width="27.28515625" bestFit="1" customWidth="1"/>
    <col min="38" max="38" width="23.28515625" bestFit="1" customWidth="1"/>
    <col min="39" max="39" width="25.140625" bestFit="1" customWidth="1"/>
    <col min="40" max="40" width="22.140625" bestFit="1" customWidth="1"/>
    <col min="41" max="41" width="23.140625" bestFit="1" customWidth="1"/>
    <col min="42" max="42" width="20.7109375" bestFit="1" customWidth="1"/>
    <col min="43" max="43" width="36.85546875" bestFit="1" customWidth="1"/>
    <col min="44" max="44" width="39.140625" bestFit="1" customWidth="1"/>
    <col min="45" max="45" width="28.140625" bestFit="1" customWidth="1"/>
    <col min="46" max="46" width="23.5703125" bestFit="1" customWidth="1"/>
    <col min="47" max="47" width="30.28515625" bestFit="1" customWidth="1"/>
    <col min="48" max="48" width="25.140625" bestFit="1" customWidth="1"/>
    <col min="49" max="49" width="19.140625" bestFit="1" customWidth="1"/>
    <col min="50" max="50" width="20" bestFit="1" customWidth="1"/>
    <col min="51" max="51" width="24" bestFit="1" customWidth="1"/>
    <col min="52" max="52" width="17.85546875" bestFit="1" customWidth="1"/>
    <col min="53" max="53" width="11.28515625" bestFit="1" customWidth="1"/>
  </cols>
  <sheetData>
    <row r="3" spans="1:5" x14ac:dyDescent="0.25">
      <c r="A3" s="7" t="s">
        <v>202</v>
      </c>
      <c r="B3" s="7" t="s">
        <v>136</v>
      </c>
    </row>
    <row r="4" spans="1:5" x14ac:dyDescent="0.25">
      <c r="A4" s="7" t="s">
        <v>133</v>
      </c>
      <c r="B4" t="s">
        <v>100</v>
      </c>
      <c r="C4" t="s">
        <v>116</v>
      </c>
      <c r="D4" t="s">
        <v>108</v>
      </c>
      <c r="E4" t="s">
        <v>135</v>
      </c>
    </row>
    <row r="5" spans="1:5" x14ac:dyDescent="0.25">
      <c r="A5" s="8" t="s">
        <v>119</v>
      </c>
      <c r="B5" s="9"/>
      <c r="C5" s="9">
        <v>1</v>
      </c>
      <c r="D5" s="9"/>
      <c r="E5" s="9">
        <v>1</v>
      </c>
    </row>
    <row r="6" spans="1:5" x14ac:dyDescent="0.25">
      <c r="A6" s="8" t="s">
        <v>111</v>
      </c>
      <c r="B6" s="9"/>
      <c r="C6" s="9"/>
      <c r="D6" s="9">
        <v>1</v>
      </c>
      <c r="E6" s="9">
        <v>1</v>
      </c>
    </row>
    <row r="7" spans="1:5" x14ac:dyDescent="0.25">
      <c r="A7" s="8" t="s">
        <v>103</v>
      </c>
      <c r="B7" s="9">
        <v>1</v>
      </c>
      <c r="C7" s="9"/>
      <c r="D7" s="9"/>
      <c r="E7" s="9">
        <v>1</v>
      </c>
    </row>
    <row r="8" spans="1:5" x14ac:dyDescent="0.25">
      <c r="A8" s="8" t="s">
        <v>99</v>
      </c>
      <c r="B8" s="9"/>
      <c r="C8" s="9"/>
      <c r="D8" s="9">
        <v>1</v>
      </c>
      <c r="E8" s="9">
        <v>1</v>
      </c>
    </row>
    <row r="9" spans="1:5" x14ac:dyDescent="0.25">
      <c r="A9" s="8" t="s">
        <v>93</v>
      </c>
      <c r="B9" s="9"/>
      <c r="C9" s="9">
        <v>1</v>
      </c>
      <c r="D9" s="9"/>
      <c r="E9" s="9">
        <v>1</v>
      </c>
    </row>
    <row r="10" spans="1:5" x14ac:dyDescent="0.25">
      <c r="A10" s="8" t="s">
        <v>89</v>
      </c>
      <c r="B10" s="9">
        <v>1</v>
      </c>
      <c r="C10" s="9"/>
      <c r="D10" s="9"/>
      <c r="E10" s="9">
        <v>1</v>
      </c>
    </row>
    <row r="11" spans="1:5" x14ac:dyDescent="0.25">
      <c r="A11" s="8" t="s">
        <v>87</v>
      </c>
      <c r="B11" s="9"/>
      <c r="C11" s="9"/>
      <c r="D11" s="9">
        <v>1</v>
      </c>
      <c r="E11" s="9">
        <v>1</v>
      </c>
    </row>
    <row r="12" spans="1:5" x14ac:dyDescent="0.25">
      <c r="A12" s="8" t="s">
        <v>85</v>
      </c>
      <c r="B12" s="9"/>
      <c r="C12" s="9">
        <v>1</v>
      </c>
      <c r="D12" s="9"/>
      <c r="E12" s="9">
        <v>1</v>
      </c>
    </row>
    <row r="13" spans="1:5" x14ac:dyDescent="0.25">
      <c r="A13" s="8" t="s">
        <v>83</v>
      </c>
      <c r="B13" s="9"/>
      <c r="C13" s="9"/>
      <c r="D13" s="9">
        <v>1</v>
      </c>
      <c r="E13" s="9">
        <v>1</v>
      </c>
    </row>
    <row r="14" spans="1:5" x14ac:dyDescent="0.25">
      <c r="A14" s="8" t="s">
        <v>77</v>
      </c>
      <c r="B14" s="9"/>
      <c r="C14" s="9"/>
      <c r="D14" s="9">
        <v>1</v>
      </c>
      <c r="E14" s="9">
        <v>1</v>
      </c>
    </row>
    <row r="15" spans="1:5" x14ac:dyDescent="0.25">
      <c r="A15" s="8" t="s">
        <v>70</v>
      </c>
      <c r="B15" s="9">
        <v>1</v>
      </c>
      <c r="C15" s="9"/>
      <c r="D15" s="9"/>
      <c r="E15" s="9">
        <v>1</v>
      </c>
    </row>
    <row r="16" spans="1:5" x14ac:dyDescent="0.25">
      <c r="A16" s="8" t="s">
        <v>215</v>
      </c>
      <c r="B16" s="9"/>
      <c r="C16" s="9">
        <v>1</v>
      </c>
      <c r="D16" s="9"/>
      <c r="E16" s="9">
        <v>1</v>
      </c>
    </row>
    <row r="17" spans="1:5" x14ac:dyDescent="0.25">
      <c r="A17" s="8" t="s">
        <v>66</v>
      </c>
      <c r="B17" s="9">
        <v>1</v>
      </c>
      <c r="C17" s="9"/>
      <c r="D17" s="9"/>
      <c r="E17" s="9">
        <v>1</v>
      </c>
    </row>
    <row r="18" spans="1:5" x14ac:dyDescent="0.25">
      <c r="A18" s="8" t="s">
        <v>64</v>
      </c>
      <c r="B18" s="9"/>
      <c r="C18" s="9"/>
      <c r="D18" s="9">
        <v>1</v>
      </c>
      <c r="E18" s="9">
        <v>1</v>
      </c>
    </row>
    <row r="19" spans="1:5" x14ac:dyDescent="0.25">
      <c r="A19" s="8" t="s">
        <v>58</v>
      </c>
      <c r="B19" s="9">
        <v>1</v>
      </c>
      <c r="C19" s="9"/>
      <c r="D19" s="9"/>
      <c r="E19" s="9">
        <v>1</v>
      </c>
    </row>
    <row r="20" spans="1:5" x14ac:dyDescent="0.25">
      <c r="A20" s="8" t="s">
        <v>52</v>
      </c>
      <c r="B20" s="9"/>
      <c r="C20" s="9"/>
      <c r="D20" s="9">
        <v>1</v>
      </c>
      <c r="E20" s="9">
        <v>1</v>
      </c>
    </row>
    <row r="21" spans="1:5" x14ac:dyDescent="0.25">
      <c r="A21" s="8" t="s">
        <v>50</v>
      </c>
      <c r="B21" s="9">
        <v>1</v>
      </c>
      <c r="C21" s="9"/>
      <c r="D21" s="9"/>
      <c r="E21" s="9">
        <v>1</v>
      </c>
    </row>
    <row r="22" spans="1:5" x14ac:dyDescent="0.25">
      <c r="A22" s="8" t="s">
        <v>48</v>
      </c>
      <c r="B22" s="9">
        <v>1</v>
      </c>
      <c r="C22" s="9"/>
      <c r="D22" s="9"/>
      <c r="E22" s="9">
        <v>1</v>
      </c>
    </row>
    <row r="23" spans="1:5" x14ac:dyDescent="0.25">
      <c r="A23" s="8" t="s">
        <v>46</v>
      </c>
      <c r="B23" s="9"/>
      <c r="C23" s="9">
        <v>1</v>
      </c>
      <c r="D23" s="9"/>
      <c r="E23" s="9">
        <v>1</v>
      </c>
    </row>
    <row r="24" spans="1:5" x14ac:dyDescent="0.25">
      <c r="A24" s="8" t="s">
        <v>42</v>
      </c>
      <c r="B24" s="9"/>
      <c r="C24" s="9"/>
      <c r="D24" s="9">
        <v>1</v>
      </c>
      <c r="E24" s="9">
        <v>1</v>
      </c>
    </row>
    <row r="25" spans="1:5" x14ac:dyDescent="0.25">
      <c r="A25" s="8" t="s">
        <v>38</v>
      </c>
      <c r="B25" s="9">
        <v>1</v>
      </c>
      <c r="C25" s="9"/>
      <c r="D25" s="9"/>
      <c r="E25" s="9">
        <v>1</v>
      </c>
    </row>
    <row r="26" spans="1:5" x14ac:dyDescent="0.25">
      <c r="A26" s="8" t="s">
        <v>32</v>
      </c>
      <c r="B26" s="9">
        <v>1</v>
      </c>
      <c r="C26" s="9"/>
      <c r="D26" s="9"/>
      <c r="E26" s="9">
        <v>1</v>
      </c>
    </row>
    <row r="27" spans="1:5" x14ac:dyDescent="0.25">
      <c r="A27" s="8" t="s">
        <v>30</v>
      </c>
      <c r="B27" s="9"/>
      <c r="C27" s="9">
        <v>1</v>
      </c>
      <c r="D27" s="9"/>
      <c r="E27" s="9">
        <v>1</v>
      </c>
    </row>
    <row r="28" spans="1:5" x14ac:dyDescent="0.25">
      <c r="A28" s="8" t="s">
        <v>28</v>
      </c>
      <c r="B28" s="9"/>
      <c r="C28" s="9"/>
      <c r="D28" s="9">
        <v>1</v>
      </c>
      <c r="E28" s="9">
        <v>1</v>
      </c>
    </row>
    <row r="29" spans="1:5" x14ac:dyDescent="0.25">
      <c r="A29" s="8" t="s">
        <v>26</v>
      </c>
      <c r="B29" s="9">
        <v>1</v>
      </c>
      <c r="C29" s="9"/>
      <c r="D29" s="9"/>
      <c r="E29" s="9">
        <v>1</v>
      </c>
    </row>
    <row r="30" spans="1:5" x14ac:dyDescent="0.25">
      <c r="A30" s="8" t="s">
        <v>22</v>
      </c>
      <c r="B30" s="9">
        <v>1</v>
      </c>
      <c r="C30" s="9"/>
      <c r="D30" s="9"/>
      <c r="E30" s="9">
        <v>1</v>
      </c>
    </row>
    <row r="31" spans="1:5" x14ac:dyDescent="0.25">
      <c r="A31" s="8" t="s">
        <v>20</v>
      </c>
      <c r="B31" s="9"/>
      <c r="C31" s="9"/>
      <c r="D31" s="9">
        <v>1</v>
      </c>
      <c r="E31" s="9">
        <v>1</v>
      </c>
    </row>
    <row r="32" spans="1:5" x14ac:dyDescent="0.25">
      <c r="A32" s="8" t="s">
        <v>16</v>
      </c>
      <c r="B32" s="9"/>
      <c r="C32" s="9">
        <v>1</v>
      </c>
      <c r="D32" s="9"/>
      <c r="E32" s="9">
        <v>1</v>
      </c>
    </row>
    <row r="33" spans="1:5" x14ac:dyDescent="0.25">
      <c r="A33" s="8" t="s">
        <v>10</v>
      </c>
      <c r="B33" s="9"/>
      <c r="C33" s="9"/>
      <c r="D33" s="9">
        <v>1</v>
      </c>
      <c r="E33" s="9">
        <v>1</v>
      </c>
    </row>
    <row r="34" spans="1:5" x14ac:dyDescent="0.25">
      <c r="A34" s="8" t="s">
        <v>8</v>
      </c>
      <c r="B34" s="9"/>
      <c r="C34" s="9">
        <v>1</v>
      </c>
      <c r="D34" s="9"/>
      <c r="E34" s="9">
        <v>1</v>
      </c>
    </row>
    <row r="35" spans="1:5" x14ac:dyDescent="0.25">
      <c r="A35" s="8" t="s">
        <v>135</v>
      </c>
      <c r="B35" s="9">
        <v>11</v>
      </c>
      <c r="C35" s="9">
        <v>8</v>
      </c>
      <c r="D35" s="9">
        <v>11</v>
      </c>
      <c r="E35" s="9">
        <v>30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p:properties>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ct:contentTypeSchema xmlns:ct="http://schemas.microsoft.com/office/2006/metadata/contentType" xmlns:ma="http://schemas.microsoft.com/office/2006/metadata/properties/metaAttributes" ct:_="" ma:_="" ma:contentTypeName="Document" ma:contentTypeID="0x01010002128AA75330834C8FD680FD3B867B19" ma:contentTypeVersion="7" ma:contentTypeDescription="Create a new document." ma:contentTypeScope="" ma:versionID="f9253661fddf8d290746e42c37b3ee32">
  <xsd:schema xmlns:xsd="http://www.w3.org/2001/XMLSchema" xmlns:xs="http://www.w3.org/2001/XMLSchema" xmlns:p="http://schemas.microsoft.com/office/2006/metadata/properties" xmlns:ns3="32899183-6657-4a00-884c-4c8214418689" xmlns:ns4="417ae95e-08fe-480c-9619-70b19c328abc" targetNamespace="http://schemas.microsoft.com/office/2006/metadata/properties" ma:root="true" ma:fieldsID="07c7d5fc2ab3fc1f62b7eb32e946e489" ns3:_="" ns4:_="">
    <xsd:import namespace="32899183-6657-4a00-884c-4c8214418689"/>
    <xsd:import namespace="417ae95e-08fe-480c-9619-70b19c328abc"/>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899183-6657-4a00-884c-4c82144186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17ae95e-08fe-480c-9619-70b19c328ab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0.xml>�� 
</file>

<file path=customXml/item21.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847AB6-2B3D-4C8E-9B3B-245BBF0FC8D0}">
  <ds:schemaRefs/>
</ds:datastoreItem>
</file>

<file path=customXml/itemProps2.xml><?xml version="1.0" encoding="utf-8"?>
<ds:datastoreItem xmlns:ds="http://schemas.openxmlformats.org/officeDocument/2006/customXml" ds:itemID="{110D95E9-DD72-4E10-87C9-50F7F0E76AB3}">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79ECDC46-6738-48E7-A369-6F336655CDA8}">
  <ds:schemaRefs/>
</ds:datastoreItem>
</file>

<file path=customXml/itemProps4.xml><?xml version="1.0" encoding="utf-8"?>
<ds:datastoreItem xmlns:ds="http://schemas.openxmlformats.org/officeDocument/2006/customXml" ds:itemID="{B247354C-DCEA-4F0F-8617-C230AAE7E8FD}">
  <ds:schemaRefs/>
</ds:datastoreItem>
</file>

<file path=customXml/itemProps5.xml><?xml version="1.0" encoding="utf-8"?>
<ds:datastoreItem xmlns:ds="http://schemas.openxmlformats.org/officeDocument/2006/customXml" ds:itemID="{86784362-27B6-4682-ACCC-C0401D0B2422}">
  <ds:schemaRefs/>
</ds:datastoreItem>
</file>

<file path=customXml/itemProps6.xml><?xml version="1.0" encoding="utf-8"?>
<ds:datastoreItem xmlns:ds="http://schemas.openxmlformats.org/officeDocument/2006/customXml" ds:itemID="{D4F4F1F7-95AB-42D2-9DE0-D4AAC5FC5237}">
  <ds:schemaRefs/>
</ds:datastoreItem>
</file>

<file path=customXml/itemProps7.xml><?xml version="1.0" encoding="utf-8"?>
<ds:datastoreItem xmlns:ds="http://schemas.openxmlformats.org/officeDocument/2006/customXml" ds:itemID="{F34619BC-5A62-4141-BAB4-E3D5CBB6BE01}">
  <ds:schemaRefs>
    <ds:schemaRef ds:uri="32899183-6657-4a00-884c-4c8214418689"/>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417ae95e-08fe-480c-9619-70b19c328abc"/>
    <ds:schemaRef ds:uri="http://www.w3.org/XML/1998/namespace"/>
    <ds:schemaRef ds:uri="http://purl.org/dc/dcmitype/"/>
  </ds:schemaRefs>
</ds:datastoreItem>
</file>

<file path=customXml/itemProps8.xml><?xml version="1.0" encoding="utf-8"?>
<ds:datastoreItem xmlns:ds="http://schemas.openxmlformats.org/officeDocument/2006/customXml" ds:itemID="{29A850B9-4E0D-4B10-9025-D23D9400DA52}">
  <ds:schemaRefs/>
</ds:datastoreItem>
</file>

<file path=customXml/itemProps9.xml><?xml version="1.0" encoding="utf-8"?>
<ds:datastoreItem xmlns:ds="http://schemas.openxmlformats.org/officeDocument/2006/customXml" ds:itemID="{F74E797F-4B54-4700-A682-3DD3283CE985}">
  <ds:schemaRefs>
    <ds:schemaRef ds:uri="http://www.w3.org/2001/XMLSchema"/>
    <ds:schemaRef ds:uri="http://microsoft.data.visualization.Client.Excel/1.0"/>
  </ds:schemaRefs>
</ds:datastoreItem>
</file>

<file path=customXml/itemProps10.xml><?xml version="1.0" encoding="utf-8"?>
<ds:datastoreItem xmlns:ds="http://schemas.openxmlformats.org/officeDocument/2006/customXml" ds:itemID="{C4D22C0D-B1E3-4BCF-A6AC-0B363B1AF05B}">
  <ds:schemaRefs/>
</ds:datastoreItem>
</file>

<file path=customXml/itemProps11.xml><?xml version="1.0" encoding="utf-8"?>
<ds:datastoreItem xmlns:ds="http://schemas.openxmlformats.org/officeDocument/2006/customXml" ds:itemID="{B15792FE-1840-4AAB-B8BB-BB7E086043FC}">
  <ds:schemaRefs/>
</ds:datastoreItem>
</file>

<file path=customXml/itemProps12.xml><?xml version="1.0" encoding="utf-8"?>
<ds:datastoreItem xmlns:ds="http://schemas.openxmlformats.org/officeDocument/2006/customXml" ds:itemID="{33333185-BD66-43F5-BD70-6F6FF2313256}">
  <ds:schemaRefs/>
</ds:datastoreItem>
</file>

<file path=customXml/itemProps13.xml><?xml version="1.0" encoding="utf-8"?>
<ds:datastoreItem xmlns:ds="http://schemas.openxmlformats.org/officeDocument/2006/customXml" ds:itemID="{89A70AC5-C994-4100-A530-47F168F3FDA1}">
  <ds:schemaRefs/>
</ds:datastoreItem>
</file>

<file path=customXml/itemProps14.xml><?xml version="1.0" encoding="utf-8"?>
<ds:datastoreItem xmlns:ds="http://schemas.openxmlformats.org/officeDocument/2006/customXml" ds:itemID="{B8105A4E-2ACA-4E8C-BA58-C36DBD6A116C}">
  <ds:schemaRefs/>
</ds:datastoreItem>
</file>

<file path=customXml/itemProps15.xml><?xml version="1.0" encoding="utf-8"?>
<ds:datastoreItem xmlns:ds="http://schemas.openxmlformats.org/officeDocument/2006/customXml" ds:itemID="{AA64416A-8AD7-4C0E-88DF-3ACABE3B32D0}">
  <ds:schemaRefs/>
</ds:datastoreItem>
</file>

<file path=customXml/itemProps16.xml><?xml version="1.0" encoding="utf-8"?>
<ds:datastoreItem xmlns:ds="http://schemas.openxmlformats.org/officeDocument/2006/customXml" ds:itemID="{06CAAECD-5EB7-4D7A-9AA9-B40F3E949437}">
  <ds:schemaRefs/>
</ds:datastoreItem>
</file>

<file path=customXml/itemProps17.xml><?xml version="1.0" encoding="utf-8"?>
<ds:datastoreItem xmlns:ds="http://schemas.openxmlformats.org/officeDocument/2006/customXml" ds:itemID="{A3DDDCBE-6DC5-4E9C-9769-38ECD2B768D1}">
  <ds:schemaRefs/>
</ds:datastoreItem>
</file>

<file path=customXml/itemProps18.xml><?xml version="1.0" encoding="utf-8"?>
<ds:datastoreItem xmlns:ds="http://schemas.openxmlformats.org/officeDocument/2006/customXml" ds:itemID="{80392D79-F143-49F5-9A97-B8A779E90074}">
  <ds:schemaRefs/>
</ds:datastoreItem>
</file>

<file path=customXml/itemProps19.xml><?xml version="1.0" encoding="utf-8"?>
<ds:datastoreItem xmlns:ds="http://schemas.openxmlformats.org/officeDocument/2006/customXml" ds:itemID="{3893CCE2-DDCC-4D20-8B7F-3865EBBC70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899183-6657-4a00-884c-4c8214418689"/>
    <ds:schemaRef ds:uri="417ae95e-08fe-480c-9619-70b19c328ab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0.xml><?xml version="1.0" encoding="utf-8"?>
<ds:datastoreItem xmlns:ds="http://schemas.openxmlformats.org/officeDocument/2006/customXml" ds:itemID="{19C0A87A-3D36-4614-8F0B-D06031835943}">
  <ds:schemaRefs/>
</ds:datastoreItem>
</file>

<file path=customXml/itemProps21.xml><?xml version="1.0" encoding="utf-8"?>
<ds:datastoreItem xmlns:ds="http://schemas.openxmlformats.org/officeDocument/2006/customXml" ds:itemID="{E6425F82-ED76-4A3C-A129-95FD0A4921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InputDataset</vt:lpstr>
      <vt:lpstr>Sheet12</vt:lpstr>
      <vt:lpstr>Sheet6</vt:lpstr>
      <vt:lpstr>Rough</vt:lpstr>
      <vt:lpstr>ques_feedback</vt:lpstr>
      <vt:lpstr>concated_ques2</vt:lpstr>
      <vt:lpstr>concated_ques</vt:lpstr>
      <vt:lpstr>Pivot(disagree,strongly)</vt:lpstr>
      <vt:lpstr>Pivot(connect)</vt:lpstr>
      <vt:lpstr>Pivot(ratings)</vt:lpstr>
      <vt:lpstr>Sheet20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Shelatkar, Sanket</dc:creator>
  <cp:lastModifiedBy>Shelatkar, Sanket</cp:lastModifiedBy>
  <dcterms:created xsi:type="dcterms:W3CDTF">2020-08-13T09:17:00Z</dcterms:created>
  <dcterms:modified xsi:type="dcterms:W3CDTF">2022-03-03T09:48:08Z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0x01010002128AA75330834C8FD680FD3B867B19</vt:lpwstr>
  </property>
</Properties>
</file>